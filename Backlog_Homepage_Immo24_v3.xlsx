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uverture" sheetId="1" state="visible" r:id="rId3"/>
    <sheet name="Synthèse" sheetId="2" state="visible" r:id="rId4"/>
    <sheet name="Backlog détaillé" sheetId="3" state="visible" r:id="rId5"/>
    <sheet name="Matrice Backoffice" sheetId="4" state="visible" r:id="rId6"/>
    <sheet name="Roadmap Sprints" sheetId="5" state="visible" r:id="rId7"/>
  </sheets>
  <definedNames>
    <definedName function="false" hidden="true" localSheetId="2" name="_xlnm._FilterDatabase" vbProcedure="false">'Backlog détaillé'!$A$1:$L$56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<sst xmlns="http://schemas.openxmlformats.org/spreadsheetml/2006/main" count="783" uniqueCount="410">
  <si>
    <t xml:space="preserve">BACKLOG HOMEPAGE — IMMO24.TN</t>
  </si>
  <si>
    <t xml:space="preserve">User Stories Visiteur &amp; Admin — Configuration Backoffice</t>
  </si>
  <si>
    <t xml:space="preserve">Produit</t>
  </si>
  <si>
    <t xml:space="preserve">Immo24.tn — Plateforme immobilière tunisienne</t>
  </si>
  <si>
    <t xml:space="preserve">Périmètre</t>
  </si>
  <si>
    <t xml:space="preserve">Homepage (MVP v1)</t>
  </si>
  <si>
    <t xml:space="preserve">Version backlog</t>
  </si>
  <si>
    <t xml:space="preserve">v3 — Excel 14/05/2026</t>
  </si>
  <si>
    <t xml:space="preserve">Product Owner</t>
  </si>
  <si>
    <t xml:space="preserve">Emna Sadfi</t>
  </si>
  <si>
    <t xml:space="preserve">Nb d'épics</t>
  </si>
  <si>
    <t xml:space="preserve">11</t>
  </si>
  <si>
    <t xml:space="preserve">Nb d'US totales</t>
  </si>
  <si>
    <t xml:space="preserve">55</t>
  </si>
  <si>
    <t xml:space="preserve">Méthode</t>
  </si>
  <si>
    <t xml:space="preserve">Connextra + Critères d'acceptation + MoSCoW + Story Points</t>
  </si>
  <si>
    <t xml:space="preserve">Référentiel SP</t>
  </si>
  <si>
    <t xml:space="preserve">Fibonacci (1, 2, 3, 5, 8, 13)</t>
  </si>
  <si>
    <t xml:space="preserve">LÉGENDE — Priorités MoSCoW</t>
  </si>
  <si>
    <t xml:space="preserve">MUST</t>
  </si>
  <si>
    <t xml:space="preserve">Indispensable au MVP — bloquant si absent</t>
  </si>
  <si>
    <t xml:space="preserve">SHOULD</t>
  </si>
  <si>
    <t xml:space="preserve">Important mais contournable temporairement</t>
  </si>
  <si>
    <t xml:space="preserve">COULD</t>
  </si>
  <si>
    <t xml:space="preserve">Nice-to-have, peut être différé</t>
  </si>
  <si>
    <t xml:space="preserve">WONT</t>
  </si>
  <si>
    <t xml:space="preserve">Hors scope de cette version</t>
  </si>
  <si>
    <t xml:space="preserve">Synthèse par épic</t>
  </si>
  <si>
    <t xml:space="preserve">Épic</t>
  </si>
  <si>
    <t xml:space="preserve">US Visiteur</t>
  </si>
  <si>
    <t xml:space="preserve">US Admin</t>
  </si>
  <si>
    <t xml:space="preserve">Total US</t>
  </si>
  <si>
    <t xml:space="preserve">Total SP</t>
  </si>
  <si>
    <t xml:space="preserve">% MUST</t>
  </si>
  <si>
    <t xml:space="preserve">1. Navbar</t>
  </si>
  <si>
    <t xml:space="preserve">2. Hero</t>
  </si>
  <si>
    <t xml:space="preserve">3. Recherche</t>
  </si>
  <si>
    <t xml:space="preserve">4. Projets</t>
  </si>
  <si>
    <t xml:space="preserve">5. Estimation</t>
  </si>
  <si>
    <t xml:space="preserve">6. Annonces</t>
  </si>
  <si>
    <t xml:space="preserve">7. Actualités</t>
  </si>
  <si>
    <t xml:space="preserve">8. Partenaires</t>
  </si>
  <si>
    <t xml:space="preserve">9. Footer</t>
  </si>
  <si>
    <t xml:space="preserve">10. CTA</t>
  </si>
  <si>
    <t xml:space="preserve">11. Transverse</t>
  </si>
  <si>
    <t xml:space="preserve">TOTAL</t>
  </si>
  <si>
    <t xml:space="preserve">ID</t>
  </si>
  <si>
    <t xml:space="preserve">Type</t>
  </si>
  <si>
    <t xml:space="preserve">Rôle</t>
  </si>
  <si>
    <t xml:space="preserve">User Story (Connextra)</t>
  </si>
  <si>
    <t xml:space="preserve">Critères d'acceptation</t>
  </si>
  <si>
    <t xml:space="preserve">Tâches techniques</t>
  </si>
  <si>
    <t xml:space="preserve">Priorité (MoSCoW)</t>
  </si>
  <si>
    <t xml:space="preserve">Story Points</t>
  </si>
  <si>
    <t xml:space="preserve">Sprint</t>
  </si>
  <si>
    <t xml:space="preserve">Dépendances</t>
  </si>
  <si>
    <t xml:space="preserve">Configuration Backoffice</t>
  </si>
  <si>
    <t xml:space="preserve">US-NAV-01</t>
  </si>
  <si>
    <t xml:space="preserve">Fonctionnel</t>
  </si>
  <si>
    <t xml:space="preserve">Visiteur</t>
  </si>
  <si>
    <t xml:space="preserve">En tant que visiteur, je veux voir une barre de navigation claire avec logo, menus et bouton de connexion, afin de naviguer efficacement sur la plateforme.</t>
  </si>
  <si>
    <t xml:space="preserve">• Logo cliquable redirige vers la homepage
• Menus déroulants au survol et au clic
• Barre sticky avec effet blur/transparence
• Bouton CTA (Compte pro / Sign In) visible à droite
• Item actif mis en évidence</t>
  </si>
  <si>
    <t xml:space="preserve">Composant &lt;Navbar&gt; Next.js • prop sticky + z-index 100 • Test E2E navigation</t>
  </si>
  <si>
    <t xml:space="preserve">S1</t>
  </si>
  <si>
    <t xml:space="preserve">-</t>
  </si>
  <si>
    <t xml:space="preserve">—</t>
  </si>
  <si>
    <t xml:space="preserve">US-NAV-02</t>
  </si>
  <si>
    <t xml:space="preserve">En tant que visiteur, je veux que les sous-menus s'ouvrent au survol et affichent les liens configurés, afin d'accéder aux sections importantes.</t>
  </si>
  <si>
    <t xml:space="preserve">• Ouverture au survol avec délai 150ms
• Chaque item : label + lien (interne ou externe)
• Lien externe : target=_blank rel=noopener
• Fermeture sur clic extérieur ou Escape
• Navigation clavier (Tab, Enter, flèches)</t>
  </si>
  <si>
    <t xml:space="preserve">API GET /api/menu (arbre) • Cache 5 min client</t>
  </si>
  <si>
    <t xml:space="preserve">US-NAV-01, US-NAV-05</t>
  </si>
  <si>
    <t xml:space="preserve">Lecture du paramétrage menu défini par l'admin</t>
  </si>
  <si>
    <t xml:space="preserve">US-NAV-03</t>
  </si>
  <si>
    <t xml:space="preserve">En tant que visiteur mobile, je veux accéder au menu via un bouton hamburger, afin de naviguer confortablement sur smartphone.</t>
  </si>
  <si>
    <t xml:space="preserve">• Burger visible &lt; 1024px
• Panneau coulissant avec overlay sombre
• Sous-menus accordéon
• Fermeture au swipe ou clic overlay
• Bouton fermer (X) en haut à droite</t>
  </si>
  <si>
    <t xml:space="preserve">CSS media queries + tokens • &lt;MobileMenu&gt; animation slide-in</t>
  </si>
  <si>
    <t xml:space="preserve">US-NAV-04</t>
  </si>
  <si>
    <t xml:space="preserve">En tant que visiteur, je veux basculer entre FR et AR depuis la navbar, afin de consulter le site dans ma langue.</t>
  </si>
  <si>
    <t xml:space="preserve">• Sélecteur FR/AR visible navbar
• Préférence mémorisée (cookie 1 an)
• Bascule instantanée sans reload complet
• Support RTL complet en mode arabe
• URL reflète la langue (/fr/ ou /ar/)</t>
  </si>
  <si>
    <t xml:space="preserve">i18n next-intl • Dictionnaires FR/AR versionnés • Middleware détection langue</t>
  </si>
  <si>
    <t xml:space="preserve">S2</t>
  </si>
  <si>
    <t xml:space="preserve">Activation des langues disponibles, langue par défaut</t>
  </si>
  <si>
    <t xml:space="preserve">US-NAV-05</t>
  </si>
  <si>
    <t xml:space="preserve">Configuration</t>
  </si>
  <si>
    <t xml:space="preserve">Admin</t>
  </si>
  <si>
    <t xml:space="preserve">En tant qu'admin, je veux ajouter, modifier, réordonner et supprimer les items du menu principal, afin d'adapter la navigation sans intervention technique.</t>
  </si>
  <si>
    <t xml:space="preserve">• CRUD items : label (FR/AR), URL cible, icône optionnelle
• URL interne (sélecteur de page) ou externe
• Drag &amp; drop pour réordonner
• Toggle visibilité (publié / masqué)
• Prévisualisation temps réel
• Audit log</t>
  </si>
  <si>
    <t xml:space="preserve">API CRUD /api/admin/menu • Back-office React + react-beautiful-dnd</t>
  </si>
  <si>
    <t xml:space="preserve">Module BO : Menus &gt; Menu principal (CRUD items, ordre, visibilité, langue, profondeur 2 niveaux)</t>
  </si>
  <si>
    <t xml:space="preserve">US-NAV-06</t>
  </si>
  <si>
    <t xml:space="preserve">En tant qu'admin, je veux modifier le logo, le nom affiché et la tagline de la navbar, afin de maintenir l'identité visuelle.</t>
  </si>
  <si>
    <t xml:space="preserve">• Upload logo SVG/PNG (max 500 KB) avec preview
• Champs nom et tagline FR/AR
• URL redirection logo configurable
• Validation : dimensions min 80x80</t>
  </si>
  <si>
    <t xml:space="preserve">Stockage assets S3/CDN • API PATCH /api/admin/branding</t>
  </si>
  <si>
    <t xml:space="preserve">Module BO : Branding &gt; Logo / Nom / Tagline / URL redirection</t>
  </si>
  <si>
    <t xml:space="preserve">US-NAV-07</t>
  </si>
  <si>
    <t xml:space="preserve">En tant qu'admin, je veux modifier le libellé et la destination du bouton CTA de la navbar, afin de l'adapter selon les campagnes.</t>
  </si>
  <si>
    <t xml:space="preserve">• Label configurable FR/AR
• URL cible interne ou externe
• Option visibilité : toujours / masqué si connecté
• Choix du style (primaire / secondaire)</t>
  </si>
  <si>
    <t xml:space="preserve">API PATCH /api/admin/navbar-cta</t>
  </si>
  <si>
    <t xml:space="preserve">Module BO : Navbar &gt; Bouton CTA (label, URL, style, visibilité conditionnelle)</t>
  </si>
  <si>
    <t xml:space="preserve">US-HER-01</t>
  </si>
  <si>
    <t xml:space="preserve">En tant que visiteur, je veux voir une bannière visuelle immersive dès l'arrivée, afin de comprendre la mission de la plateforme.</t>
  </si>
  <si>
    <t xml:space="preserve">• Image/vidéo de fond pleine largeur
• Overlay sombre ajustable (0-80%)
• Titre H1 + sous-titre
• LCP &lt; 2.5s (WebP optimisé, preload)
• Hauteur responsive (580px desktop, 60vh mobile)
• Alt text renseigné</t>
  </si>
  <si>
    <t xml:space="preserve">Composant &lt;Hero&gt; Next.js Image priority=true • CDN Cloudflare srcset</t>
  </si>
  <si>
    <t xml:space="preserve">US-HER-02</t>
  </si>
  <si>
    <t xml:space="preserve">En tant que visiteur, je veux voir un message d'accroche clair (titre + sous-titre), afin de comprendre l'utilité de la plateforme en 5 secondes.</t>
  </si>
  <si>
    <t xml:space="preserve">• H1 visible et lisible sur tous écrans
• Sous-titre explicatif ≤ 140 caractères
• Contraste AA respecté
• Typo responsive (clamp)</t>
  </si>
  <si>
    <t xml:space="preserve">Tokens design system • SEO H1 unique</t>
  </si>
  <si>
    <t xml:space="preserve">Lecture des contenus configurés en BO</t>
  </si>
  <si>
    <t xml:space="preserve">US-HER-03</t>
  </si>
  <si>
    <t xml:space="preserve">En tant que visiteur, je veux voir un ou plusieurs CTA dans le hero (ex: Publier une annonce, Estimer mon bien), afin d'agir immédiatement.</t>
  </si>
  <si>
    <t xml:space="preserve">• 1 à 2 boutons CTA visibles
• Bouton primaire + bouton secondaire optionnel
• Tracking GA cta_click_hero
• Redirection vers URL configurée</t>
  </si>
  <si>
    <t xml:space="preserve">Composant &lt;HeroCTA&gt; • dataLayer event</t>
  </si>
  <si>
    <t xml:space="preserve">Lecture des CTA hero configurés</t>
  </si>
  <si>
    <t xml:space="preserve">US-HER-04</t>
  </si>
  <si>
    <t xml:space="preserve">En tant qu'admin, je veux modifier l'image ou la vidéo de fond du hero, afin de rafraîchir le visuel sans déploiement technique.</t>
  </si>
  <si>
    <t xml:space="preserve">• Upload image (JPG/WebP, max 5 MB) ou URL vidéo (YouTube/Vimeo/mp4)
• Ajustement opacité overlay (slider 0-80%)
• Alt text FR/AR
• Prévisualisation desktop + mobile
• Historique des 10 derniers visuels</t>
  </si>
  <si>
    <t xml:space="preserve">Stockage + versionning • API PATCH /api/admin/hero</t>
  </si>
  <si>
    <t xml:space="preserve">Module BO : Sections &gt; Hero &gt; Visuel (upload, overlay, alt, historique, planification)</t>
  </si>
  <si>
    <t xml:space="preserve">US-HER-05</t>
  </si>
  <si>
    <t xml:space="preserve">En tant qu'admin, je veux modifier le titre, le sous-titre et les CTA du hero (FR/AR), afin de relayer les campagnes en cours.</t>
  </si>
  <si>
    <t xml:space="preserve">• Champs FR/AR : titre, sous-titre
• 2 CTA configurables (label, URL, style)
• Planification de publication (date début/fin)
• Prévisualisation</t>
  </si>
  <si>
    <t xml:space="preserve">API PATCH /api/admin/sections/hero</t>
  </si>
  <si>
    <t xml:space="preserve">Module BO : Sections &gt; Hero &gt; Contenus (titre, sous-titre, CTA1, CTA2, planning)</t>
  </si>
  <si>
    <t xml:space="preserve">US-SEA-01</t>
  </si>
  <si>
    <t xml:space="preserve">En tant que visiteur, je veux basculer entre Acheter / Louer / Neuf dans le widget, afin de filtrer selon mon intention.</t>
  </si>
  <si>
    <t xml:space="preserve">• 3 onglets différenciés, sélection active en couleur primaire
• Sélection mémorisée (sessionStorage)
• Dropdown Type de bien adapté au mode
• En location : retrait Sur plan / Neuf
• Transition animée</t>
  </si>
  <si>
    <t xml:space="preserve">State global Zustand • Validation backend combinaisons</t>
  </si>
  <si>
    <t xml:space="preserve">Lecture des onglets configurés</t>
  </si>
  <si>
    <t xml:space="preserve">US-SEA-02</t>
  </si>
  <si>
    <t xml:space="preserve">En tant que visiteur, je veux taper un mot-clé et voir des suggestions en temps réel, afin de trouver rapidement ce que je cherche.</t>
  </si>
  <si>
    <t xml:space="preserve">• Autocomplete bilingue FR/AR, debounce 300ms
• Catégories : Quartiers, Villes, Projets, Promoteurs
• Highlight du terme dans les suggestions
• Effacement en 1 clic
• Persistence URL (?q=…)
• Placeholder configurable en BO
• Gestion erreur réseau</t>
  </si>
  <si>
    <t xml:space="preserve">API GET /api/search/autocomplete • Elasticsearch / Meilisearch • Event search_autocomplete</t>
  </si>
  <si>
    <t xml:space="preserve">Placeholder configurable + nb max suggestions + sources d'index</t>
  </si>
  <si>
    <t xml:space="preserve">US-SEA-03</t>
  </si>
  <si>
    <t xml:space="preserve">En tant que visiteur, je veux choisir le type de bien (appartement, villa, terrain, bureau...), afin d'affiner ma recherche.</t>
  </si>
  <si>
    <t xml:space="preserve">• Dropdown icône + label par type
• Multi-sélection autorisée
• Types paramétrables en BO
• Option « Tous types » par défaut</t>
  </si>
  <si>
    <t xml:space="preserve">API GET /api/property-types</t>
  </si>
  <si>
    <t xml:space="preserve">US-SEA-10</t>
  </si>
  <si>
    <t xml:space="preserve">Lecture du référentiel types de bien</t>
  </si>
  <si>
    <t xml:space="preserve">US-SEA-04</t>
  </si>
  <si>
    <t xml:space="preserve">En tant que visiteur, je veux saisir un budget min et max en TND, afin de cibler les biens dans mes moyens.</t>
  </si>
  <si>
    <t xml:space="preserve">• 2 champs : min, max (TND ou € configurable)
• Validation min &lt; max + formatage auto
• Suggestions de paliers (100K, 200K, 500K…)
• Affichage intelligent « à partir de 200K »</t>
  </si>
  <si>
    <t xml:space="preserve">Intl.NumberFormat('fr-TN')</t>
  </si>
  <si>
    <t xml:space="preserve">Devise par défaut, paliers suggérés</t>
  </si>
  <si>
    <t xml:space="preserve">US-SEA-05</t>
  </si>
  <si>
    <t xml:space="preserve">En tant que visiteur, je veux choisir le nombre de pièces (1, 2, 3, 4, 5+), afin de filtrer selon la taille.</t>
  </si>
  <si>
    <t xml:space="preserve">• Boutons pill 1/2/3/4/5+
• Multi-sélection
• Sélection claire en couleur primaire
• « Indifférent » par défaut</t>
  </si>
  <si>
    <t xml:space="preserve">Activer/désactiver le filtre pièces</t>
  </si>
  <si>
    <t xml:space="preserve">US-SEA-06</t>
  </si>
  <si>
    <t xml:space="preserve">En tant que visiteur, je veux cliquer sur « Chercher sur la carte » depuis le widget, afin d'être redirigé vers la carte avec mes filtres.</t>
  </si>
  <si>
    <t xml:space="preserve">• Bouton visible dans le widget
• Redirection /carte?mode=…&amp;q=…&amp;type=… (params transmis)
• Carte centrée Tunis par défaut
• Icône carte pour clarté
• Libellé configurable en BO (FR/AR)</t>
  </si>
  <si>
    <t xml:space="preserve">Composant &lt;MapSearchButton&gt; • Sérialisation querystring</t>
  </si>
  <si>
    <t xml:space="preserve">Label + URL cible configurables</t>
  </si>
  <si>
    <t xml:space="preserve">US-SEA-07</t>
  </si>
  <si>
    <t xml:space="preserve">En tant que visiteur, je veux accéder à des filtres avancés depuis le widget, afin d'affiner sans quitter la homepage.</t>
  </si>
  <si>
    <t xml:space="preserve">• Panel déroulant « Filtres avancés »
• Filtres : surface min/max, statut (Neuf/2e main/Sur plan), livraison (trim/an), étage, parking, ascenseur
• Compteur filtres actifs sur le bouton
• Bouton « Réinitialiser »
• URL partageable</t>
  </si>
  <si>
    <t xml:space="preserve">Composant &lt;AdvancedFilters&gt;</t>
  </si>
  <si>
    <t xml:space="preserve">Activer/désactiver filtres avancés + liste filtres dispo</t>
  </si>
  <si>
    <t xml:space="preserve">US-SEA-08</t>
  </si>
  <si>
    <t xml:space="preserve">En tant que visiteur, je veux décrire mon besoin en langage naturel, afin de lancer une recherche sans formulaire.</t>
  </si>
  <si>
    <t xml:space="preserve">• Bouton AI ouvre modal champ libre
• Requête interprétée par LLM, filtres pré-remplis
• Prévisualisation des filtres avant validation
• Redirection /carte ou résultats
• Feature flag BO
• Rate limit 10/min/IP
• Fallback si API LLM down</t>
  </si>
  <si>
    <t xml:space="preserve">API POST /api/search/ai → Claude/GPT • Validation input • Logs</t>
  </si>
  <si>
    <t xml:space="preserve">S4</t>
  </si>
  <si>
    <t xml:space="preserve">Toggle feature AI + clé API + prompt système configurable</t>
  </si>
  <si>
    <t xml:space="preserve">US-SEA-09</t>
  </si>
  <si>
    <t xml:space="preserve">En tant que visiteur, je veux partager l'URL de ma recherche avec tous ses filtres, afin qu'un proche voie les mêmes résultats.</t>
  </si>
  <si>
    <t xml:space="preserve">• Tous filtres sérialisés en querystring
• Bouton « Copier le lien »
• Ouverture du lien → filtres pré-chargés</t>
  </si>
  <si>
    <t xml:space="preserve">URLSearchParams • &lt;ShareSearchButton&gt;</t>
  </si>
  <si>
    <t xml:space="preserve">S3</t>
  </si>
  <si>
    <t xml:space="preserve">En tant qu'admin, je veux configurer tous les éléments du widget (labels, options, boutons), afin d'adapter sans code.</t>
  </si>
  <si>
    <t xml:space="preserve">• Labels onglets configurables (Acheter / Louer / Neuf)
• Placeholder keyword FR/AR
• Dropdown Type de bien : CRUD complet
• Bouton « Carte » : label + URL
• Bouton « Rechercher » : label + URL
• Bouton IA : toggle on/off
• Ordre des champs personnalisable</t>
  </si>
  <si>
    <t xml:space="preserve">API PATCH /api/admin/search-widget • Schéma JSON validé</t>
  </si>
  <si>
    <t xml:space="preserve">Module BO : Sections &gt; Widget Recherche (onglets, types, labels, ordre champs, toggles)</t>
  </si>
  <si>
    <t xml:space="preserve">US-PRO-01</t>
  </si>
  <si>
    <t xml:space="preserve">En tant que visiteur, je veux voir les projets immobiliers mis en avant, afin de découvrir les meilleures opportunités.</t>
  </si>
  <si>
    <t xml:space="preserve">• Grille 1 grande + 3 petites + 1 grande
• Card : image, badge statut, nom, ville, prix à partir de
• Infos : chambres, surface, livraison
• CTA « Voir le projet »
• Skeleton loader
• Hover lift + ombre</t>
  </si>
  <si>
    <t xml:space="preserve">API GET /api/projects/featured?limit=5 • &lt;ProjectCardBig&gt; + &lt;ProjectCardSmall&gt;</t>
  </si>
  <si>
    <t xml:space="preserve">US-PRO-05</t>
  </si>
  <si>
    <t xml:space="preserve">US-PRO-02</t>
  </si>
  <si>
    <t xml:space="preserve">En tant que visiteur, je veux identifier visuellement le statut d'un projet (Top, Nouveau, En vogue, Bord de mer…), afin de repérer rapidement ce qui m'intéresse.</t>
  </si>
  <si>
    <t xml:space="preserve">• Badge coloré en haut à gauche
• Label + icône/emoji
• Couleurs : Top=amber, Populaire=vert, En vogue=orange, Nouveau=bleu
• Cumul max 2 badges par card</t>
  </si>
  <si>
    <t xml:space="preserve">Schéma badge {label,color,icon} • &lt;Badge&gt;</t>
  </si>
  <si>
    <t xml:space="preserve">Référentiel badges (label, couleur, icône) gérable</t>
  </si>
  <si>
    <t xml:space="preserve">US-PRO-03</t>
  </si>
  <si>
    <t xml:space="preserve">En tant que visiteur, je veux cliquer sur « Voir tout » en haut de section, afin d'accéder à la liste complète.</t>
  </si>
  <si>
    <t xml:space="preserve">• Lien visible en haut à droite
• Redirige vers /projets ou /carte selon config BO
• Label et destination configurables</t>
  </si>
  <si>
    <t xml:space="preserve">US-PRO-04</t>
  </si>
  <si>
    <t xml:space="preserve">Label + URL cible « Voir tout »</t>
  </si>
  <si>
    <t xml:space="preserve">En tant qu'admin, je veux modifier titre, sous-titre et visibilité de la section Projets, afin de personnaliser l'accroche.</t>
  </si>
  <si>
    <t xml:space="preserve">• Titre + sous-titre FR/AR
• Toggle visibilité section
• Choix layout (grille 5 / carousel / liste)</t>
  </si>
  <si>
    <t xml:space="preserve">API PATCH /api/admin/sections/featured-projects</t>
  </si>
  <si>
    <t xml:space="preserve">Module BO : Sections &gt; Projets en vogue (titre, sous-titre, layout, visibilité)</t>
  </si>
  <si>
    <t xml:space="preserve">En tant qu'admin, je veux choisir manuellement les projets affichés et leur ordre, afin de contrôler la mise en avant éditoriale.</t>
  </si>
  <si>
    <t xml:space="preserve">• Recherche par nom/promoteur + drag &amp; drop
• Max 5 projets
• Mode « Automatique » : featured=true tri par date
• Badge personnalisé par projet (texte + couleur)
• Prévisualisation temps réel</t>
  </si>
  <si>
    <t xml:space="preserve">API CRUD /api/admin/featured-projects</t>
  </si>
  <si>
    <t xml:space="preserve">Module BO : Sélection projets (mode auto/manuel, ordre, badge override)</t>
  </si>
  <si>
    <t xml:space="preserve">US-EST-01</t>
  </si>
  <si>
    <t xml:space="preserve">En tant que visiteur propriétaire, je veux voir une bannière estimation gratuite, afin de découvrir le service d'évaluation.</t>
  </si>
  <si>
    <t xml:space="preserve">• Bannière pleine largeur teal/vert, distincte
• Icône + titre + sous-titre
• CTA contrasté
• Redirection interne ou externe configurable
• Positionnée entre Projets et Annonces
• Responsive (colonne mobile)</t>
  </si>
  <si>
    <t xml:space="preserve">&lt;BannerStripe&gt; • Event click_estimation_cta</t>
  </si>
  <si>
    <t xml:space="preserve">US-EST-03</t>
  </si>
  <si>
    <t xml:space="preserve">US-EST-02</t>
  </si>
  <si>
    <t xml:space="preserve">En tant que visiteur propriétaire, je veux comprendre en quoi consiste l'estimation (étapes, durée, gratuité), afin d'avoir confiance avant de cliquer.</t>
  </si>
  <si>
    <t xml:space="preserve">• 3 puces de bénéfices (gratuit, &lt; 2 min, sans engagement)
• Tooltip ou modal détaillant le process
• Lien vers la page complète</t>
  </si>
  <si>
    <t xml:space="preserve">&lt;BannerInfo&gt; avec micro-copies BO</t>
  </si>
  <si>
    <t xml:space="preserve">Liste des bénéfices configurable (puces)</t>
  </si>
  <si>
    <t xml:space="preserve">En tant qu'admin, je veux configurer la bannière estimation (titre, sous-titre, CTA, visibilité, couleur), afin d'adapter la promotion.</t>
  </si>
  <si>
    <t xml:space="preserve">• Champs FR/AR : titre, sous-titre, label CTA
• Upload image bannière
• Toggle visibilité
• URL cible configurable
• Choix couleur (palette)
• Planification publication</t>
  </si>
  <si>
    <t xml:space="preserve">API PATCH /api/admin/sections/estimation-banner</t>
  </si>
  <si>
    <t xml:space="preserve">Module BO : Sections &gt; Estimation (contenus, CTA, image, planning, A/B test)</t>
  </si>
  <si>
    <t xml:space="preserve">US-ANN-01</t>
  </si>
  <si>
    <t xml:space="preserve">En tant que visiteur, je veux voir les annonces les plus récentes, afin de découvrir les nouveautés sans recherche.</t>
  </si>
  <si>
    <t xml:space="preserve">• Grille 3 col / 2 lignes desktop, 1 col mobile
• Card : photo, badges (Vente/Location + statut), titre, localisation, specs (surface, ch, sdb), prix
• Skeleton loader
• Clic card → /annonces/[slug]
• Tri date pub décroissant
• Lazy + WebP</t>
  </si>
  <si>
    <t xml:space="preserve">API GET /api/listings/latest?limit=6 • &lt;ListingCard&gt;</t>
  </si>
  <si>
    <t xml:space="preserve">US-ANN-06</t>
  </si>
  <si>
    <t xml:space="preserve">US-ANN-02</t>
  </si>
  <si>
    <t xml:space="preserve">En tant que visiteur, je veux filtrer les annonces via des chips rapides (Tous / Coups de cœur / Neuf / Disponible / Pro), afin d'affiner sans quitter la section.</t>
  </si>
  <si>
    <t xml:space="preserve">• 5 chips configurables
• Chip actif en couleur primaire (exclusif)
• « Tous » par défaut
• Re-fetch fluide
• Compteur de résultats à jour</t>
  </si>
  <si>
    <t xml:space="preserve">API GET /api/listings/latest?filter=… • &lt;FilterChips&gt;</t>
  </si>
  <si>
    <t xml:space="preserve">US-ANN-07</t>
  </si>
  <si>
    <t xml:space="preserve">US-ANN-03</t>
  </si>
  <si>
    <t xml:space="preserve">En tant que visiteur, je veux cliquer sur l'icône cœur d'une annonce, afin de la retrouver dans mes favoris plus tard.</t>
  </si>
  <si>
    <t xml:space="preserve">• Cœur cliquable sur chaque card
• Sans connexion : localStorage + prompt inscription au 3e favori
• Avec connexion : persistance DB + synchro multi-device
• Animation pulse rouge
• Compteur favoris navbar</t>
  </si>
  <si>
    <t xml:space="preserve">API POST /api/favorites • Sync au login</t>
  </si>
  <si>
    <t xml:space="preserve">Toggle activation favoris</t>
  </si>
  <si>
    <t xml:space="preserve">US-ANN-04</t>
  </si>
  <si>
    <t xml:space="preserve">En tant que visiteur, je veux distinguer visuellement Vente vs Location sur chaque annonce, afin d'identifier rapidement les opportunités.</t>
  </si>
  <si>
    <t xml:space="preserve">• Badge couleur dédiée Vente (vert) vs Location (bleu)
• Affichage prix : « 280 000 TND » (vente) vs « 1 800 TND/mois » (location)
• Cohérence sur la fiche détail</t>
  </si>
  <si>
    <t xml:space="preserve">Schéma type + currency unit</t>
  </si>
  <si>
    <t xml:space="preserve">US-ANN-05</t>
  </si>
  <si>
    <t xml:space="preserve">En tant que visiteur, je veux voir plusieurs photos d'une annonce sans ouvrir la fiche, afin d'évaluer rapidement.</t>
  </si>
  <si>
    <t xml:space="preserve">• Flèches gauche/droite au survol
• Compteur photos (2/17)
• Swipe mobile
• Max 5 photos préchargées (lazy suivantes)</t>
  </si>
  <si>
    <t xml:space="preserve">&lt;PhotoCarouselMini&gt;</t>
  </si>
  <si>
    <t xml:space="preserve">En tant qu'admin, je veux définir les critères de tri et de filtre des annonces affichées, afin de contrôler la qualité éditoriale.</t>
  </si>
  <si>
    <t xml:space="preserve">• Mode Auto : tri par date décroissante
• Filtres : type, gouvernorat, statut, prix
• Mode Manuel : sélection / épinglage
• Nombre affiché : 6, 9, 12
• Liste noire de promoteurs</t>
  </si>
  <si>
    <t xml:space="preserve">API PATCH /api/admin/sections/latest-listings</t>
  </si>
  <si>
    <t xml:space="preserve">Module BO : Sections &gt; Dernières annonces (mode, filtres, limite, blacklist)</t>
  </si>
  <si>
    <t xml:space="preserve">En tant qu'admin, je veux CRUD les chips disponibles et les mapper à des filtres backend, afin d'adapter aux campagnes.</t>
  </si>
  <si>
    <t xml:space="preserve">• CRUD chips : label FR/AR, filtre backend associé, ordre
• Max 6 chips simultanés
• Toggle visibilité par chip
• Chip par défaut</t>
  </si>
  <si>
    <t xml:space="preserve">API CRUD /api/admin/listing-filters</t>
  </si>
  <si>
    <t xml:space="preserve">Module BO : Référentiel filtres (chips, mapping query, ordre, défaut)</t>
  </si>
  <si>
    <t xml:space="preserve">US-ANN-08</t>
  </si>
  <si>
    <t xml:space="preserve">En tant qu'admin, je veux configurer titre, CTA et visibilité de la section Annonces, afin de la contrôler entièrement.</t>
  </si>
  <si>
    <t xml:space="preserve">• Titre FR/AR
• CTA « Voir toutes » : label + URL
• Toggle masquer/afficher section</t>
  </si>
  <si>
    <t xml:space="preserve">Module BO : Sections &gt; Annonces (titre, CTA, visibilité)</t>
  </si>
  <si>
    <t xml:space="preserve">US-ACT-01</t>
  </si>
  <si>
    <t xml:space="preserve">En tant que visiteur, je veux voir 6 articles récents d'actualités/conseils, afin de m'informer sur le marché.</t>
  </si>
  <si>
    <t xml:space="preserve">• Grille 3 col / 2 lignes desktop, 1 col mobile
• Card : couleur catégorie, tag, icône, titre, temps de lecture, CTA « Lire »
• Design différencié par catégorie
• Clic → /blog/[slug]
• Hover lift + shadow</t>
  </si>
  <si>
    <t xml:space="preserve">API GET /api/articles/latest?limit=6 • &lt;ArticleCard&gt;</t>
  </si>
  <si>
    <t xml:space="preserve">US-ACT-03</t>
  </si>
  <si>
    <t xml:space="preserve">US-ACT-02</t>
  </si>
  <si>
    <t xml:space="preserve">En tant que visiteur, je veux filtrer les articles via des chips catégorie, afin de cibler mes lectures.</t>
  </si>
  <si>
    <t xml:space="preserve">• Chips catégorie au-dessus de la grille
• « Tous » par défaut
• Re-fetch fluide
• Chip actif sombre</t>
  </si>
  <si>
    <t xml:space="preserve">API GET /api/articles?category=…</t>
  </si>
  <si>
    <t xml:space="preserve">US-ACT-04</t>
  </si>
  <si>
    <t xml:space="preserve">En tant qu'admin, je veux créer, éditer, publier et dépublier les articles, afin d'alimenter le blog.</t>
  </si>
  <si>
    <t xml:space="preserve">• Éditeur riche : titre, slug, extrait, contenu WYSIWYG, image de couverture, tag, catégorie, icône, couleur
• Auteur, date pub, statut (draft/publié/programmé)
• Prévisualisation
• SEO : meta title, description, OG image</t>
  </si>
  <si>
    <t xml:space="preserve">API CRUD /api/admin/articles • Éditeur TipTap / Lexical</t>
  </si>
  <si>
    <t xml:space="preserve">Module BO : Blog &gt; Articles (CRUD complet, workflow publication, SEO)</t>
  </si>
  <si>
    <t xml:space="preserve">En tant qu'admin, je veux choisir les articles affichés en homepage et gérer les catégories, afin de garder une ligne éditoriale cohérente.</t>
  </si>
  <si>
    <t xml:space="preserve">• Mode manuel (épinglage 6) ou auto (derniers publiés)
• CRUD catégories : label FR/AR, couleur, icône
• Réordonnancement chips par drag &amp; drop
• Toggle visibilité section
• Titre section éditable</t>
  </si>
  <si>
    <t xml:space="preserve">API PATCH /api/admin/sections/news</t>
  </si>
  <si>
    <t xml:space="preserve">Module BO : Sections &gt; Actualités (mode, catégories, sélection)</t>
  </si>
  <si>
    <t xml:space="preserve">US-PAR-01</t>
  </si>
  <si>
    <t xml:space="preserve">En tant que visiteur, je veux voir les partenaires recommandés, afin de trouver des services complémentaires.</t>
  </si>
  <si>
    <t xml:space="preserve">• Grille 4 cards desktop, carousel mobile
• Card : visuel de fond, tag (logo + nom), titre, description (≤ 120 car.), CTA
• CTA redirection URL configurée
• Badge « Partenaire officiel » optionnel
• Bouton « Voir tous nos partenaires »</t>
  </si>
  <si>
    <t xml:space="preserve">API GET /api/partners/featured</t>
  </si>
  <si>
    <t xml:space="preserve">US-PAR-02</t>
  </si>
  <si>
    <t xml:space="preserve">En tant qu'admin, je veux créer, modifier, réordonner et archiver les partenaires, afin de maintenir cette section à jour.</t>
  </si>
  <si>
    <t xml:space="preserve">• Form : nom, logo, descr. courte/longue, catégorie
• Couleur de fond (palette validée)
• CTA : label + URL + ouverture (même/nouvel onglet)
• Badge « Partenaire officiel » : toggle
• Drag &amp; drop
• Toggle actif/inactif
• Titre section FR/AR, nb max partenaires affichés (3-6)</t>
  </si>
  <si>
    <t xml:space="preserve">API CRUD /api/admin/partners</t>
  </si>
  <si>
    <t xml:space="preserve">Module BO : Partenaires (CRUD, badge officiel, ordre, palette, limite affichage)</t>
  </si>
  <si>
    <t xml:space="preserve">US-FOO-01</t>
  </si>
  <si>
    <t xml:space="preserve">En tant que visiteur, je veux trouver dans le footer les infos légales, liens utiles et contacts, afin d'accéder aux ressources importantes.</t>
  </si>
  <si>
    <t xml:space="preserve">• Logo + tagline + 4 colonnes de liens
• Icônes réseaux (FB, IG, LinkedIn, WhatsApp)
• Mentions légales, CGU, politique de confidentialité
• Copyright année dynamique
• Numéro WhatsApp cliquable (wa.me/…)
• Signature « Fait avec ❤️ à Tunis »</t>
  </si>
  <si>
    <t xml:space="preserve">&lt;Footer&gt;</t>
  </si>
  <si>
    <t xml:space="preserve">US-FOO-03</t>
  </si>
  <si>
    <t xml:space="preserve">US-FOO-02</t>
  </si>
  <si>
    <t xml:space="preserve">En tant que visiteur, je veux m'inscrire à la newsletter depuis le footer, afin de recevoir les nouvelles opportunités.</t>
  </si>
  <si>
    <t xml:space="preserve">• Champ email + bouton S'inscrire
• Consentement RGPD obligatoire (case à cocher)
• Validation email client + serveur
• Feedback succès/erreur clair
• Double opt-in (email de confirmation)
• Désinscription 1 clic depuis l'email</t>
  </si>
  <si>
    <t xml:space="preserve">API POST /api/newsletter/subscribe • Mailchimp / Sendinblue • Tracking UTM</t>
  </si>
  <si>
    <t xml:space="preserve">Toggle bloc newsletter + intégration mailing</t>
  </si>
  <si>
    <t xml:space="preserve">En tant qu'admin, je veux ajouter/modifier/réordonner les colonnes et liens, afin de maintenir la navigation de bas de page.</t>
  </si>
  <si>
    <t xml:space="preserve">• CRUD colonnes : titre FR/AR, ordre
• CRUD liens : label FR/AR, URL, ouverture
• Liens réseaux configurables (URL + icône par réseau)
• Texte copyright éditable
• Numéro WhatsApp + email contact configurables
• Bloc newsletter : titre, description, toggle on/off</t>
  </si>
  <si>
    <t xml:space="preserve">API CRUD /api/admin/footer</t>
  </si>
  <si>
    <t xml:space="preserve">Module BO : Footer (colonnes, liens, réseaux, copyright, contacts, newsletter)</t>
  </si>
  <si>
    <t xml:space="preserve">US-CTA-01</t>
  </si>
  <si>
    <t xml:space="preserve">En tant que visiteur, je veux voir des CTA thématiques (Promoteurs, Agences, Décoration, Particuliers) répartis sur la homepage, afin d'accéder aux univers spécifiques.</t>
  </si>
  <si>
    <t xml:space="preserve">• 4 cards CTA différenciées par couleur et icône
• Chaque CTA : titre, sous-titre, icône, URL
• Hover effet lift
• Tracking GA cta_click_theme</t>
  </si>
  <si>
    <t xml:space="preserve">&lt;ThemedCTAGrid&gt;</t>
  </si>
  <si>
    <t xml:space="preserve">US-CTA-02</t>
  </si>
  <si>
    <t xml:space="preserve">En tant qu'admin, je veux configurer les CTA thématiques (label, icône, couleur, URL, position), afin de promouvoir les univers selon les campagnes.</t>
  </si>
  <si>
    <t xml:space="preserve">• CRUD CTA (label, icône, couleur, URL)
• Drag &amp; drop pour ordre
• Toggle visibilité par CTA
• Choix de la position dans la home (avant/après section X)
• Prévisualisation</t>
  </si>
  <si>
    <t xml:space="preserve">API CRUD /api/admin/themed-cta</t>
  </si>
  <si>
    <t xml:space="preserve">Module BO : Sections &gt; CTA thématiques (CRUD, ordre, position page, visibilité)</t>
  </si>
  <si>
    <t xml:space="preserve">US-TRA-01</t>
  </si>
  <si>
    <t xml:space="preserve">Conformité</t>
  </si>
  <si>
    <t xml:space="preserve">En tant que visiteur, je veux être informé de l'usage des cookies et pouvoir choisir, afin de respecter mes droits RGPD/ANPDP.</t>
  </si>
  <si>
    <t xml:space="preserve">• Bannière non bloquante en bas
• 3 options : Accepter / Refuser / Personnaliser
• Panel par catégorie (Essentiels, Analytics, Marketing)
• Choix persisté 13 mois max
• Pas de cookies non essentiels avant consentement
• Lien politique confidentialité
• Conforme RGPD + loi tunisienne 63-2004</t>
  </si>
  <si>
    <t xml:space="preserve">CMP (Axeptio, Didomi) ou custom • Journal des consentements</t>
  </si>
  <si>
    <t xml:space="preserve">Module BO : Cookies (catégories, fournisseurs, descriptions, journal)</t>
  </si>
  <si>
    <t xml:space="preserve">US-TRA-02</t>
  </si>
  <si>
    <t xml:space="preserve">Qualité</t>
  </si>
  <si>
    <t xml:space="preserve">En tant que visiteur en situation de handicap, je veux pouvoir utiliser la home via lecteur d'écran et clavier, afin d'avoir une expérience équitable.</t>
  </si>
  <si>
    <t xml:space="preserve">• Contrastes AA (4.5:1 texte, 3:1 gros texte)
• Navigation clavier complète
• ARIA sur composants interactifs
• Alt text images significatives
• HTML5 sémantique (header/nav/main/section/footer)
• Libellés explicites formulaires
• Audit Lighthouse a11y ≥ 95</t>
  </si>
  <si>
    <t xml:space="preserve">axe-core CI • Audit NVDA/VoiceOver</t>
  </si>
  <si>
    <t xml:space="preserve">US-TRA-03</t>
  </si>
  <si>
    <t xml:space="preserve">En tant que visiteur, je veux que la homepage se charge rapidement, afin de ne pas abandonner.</t>
  </si>
  <si>
    <t xml:space="preserve">• LCP &lt; 2.5s 4G mobile
• CLS &lt; 0.1
• INP &lt; 200ms
• TTFB &lt; 600ms
• Lighthouse Perf ≥ 90 desktop, ≥ 75 mobile
• Budget : JS initial &lt; 200KB, images &lt; 1MB total</t>
  </si>
  <si>
    <t xml:space="preserve">Next.js Image priority • Code splitting • CDN Cloudflare cache 1h • RUM Vercel / Sentry</t>
  </si>
  <si>
    <t xml:space="preserve">US-TRA-04</t>
  </si>
  <si>
    <t xml:space="preserve">En tant que visiteur arrivant par Google, je veux trouver Immo24.tn dans les premiers résultats, afin de découvrir la plateforme.</t>
  </si>
  <si>
    <t xml:space="preserve">• &lt;title&gt;, &lt;meta description&gt;, OG, Twitter Card
• Schema.org RealEstateAgent + Organization
• Sitemap.xml + robots.txt
• URL canonique
• Hreflang FR/AR
• Lazy-loading images sous la ligne de flottaison
• H1 unique + hiérarchie titres</t>
  </si>
  <si>
    <t xml:space="preserve">next-seo ou Next Metadata API</t>
  </si>
  <si>
    <t xml:space="preserve">Module BO : SEO Homepage (title, meta description, OG image, schema)</t>
  </si>
  <si>
    <t xml:space="preserve">US-TRA-05</t>
  </si>
  <si>
    <t xml:space="preserve">En tant que visiteur mobile, je veux une expérience adaptée à mon écran, afin de naviguer sans zoom.</t>
  </si>
  <si>
    <t xml:space="preserve">• Breakpoints mobile &lt; 640, tablette 640-1023, desktop ≥ 1024
• Éléments interactifs min 44x44 px (tap target)
• Images srcset
• Tests Safari iOS, Chrome Android, viewport 320-1440</t>
  </si>
  <si>
    <t xml:space="preserve">Tests BrowserStack / Playwright multi-viewport</t>
  </si>
  <si>
    <t xml:space="preserve">US-TRA-06</t>
  </si>
  <si>
    <t xml:space="preserve">En tant qu'admin métier, je veux suivre les événements clés (clics CTA, recherches, favoris), afin d'optimiser la conversion.</t>
  </si>
  <si>
    <t xml:space="preserve">• Intégration GA4 (ou Plausible, Matomo)
• Events : search_submit, cta_click, favorite_add, whatsapp_click, estimation_cta
• GTM (ajouter/modifier sans déploiement)
• Conformité RGPD (tracking après consentement)
• Dashboard funnel homepage → résultats</t>
  </si>
  <si>
    <t xml:space="preserve">GTM + dataLayer • Events schema versionné</t>
  </si>
  <si>
    <t xml:space="preserve">Module BO : Analytics (ID GA4, GTM, events activables, dashboard)</t>
  </si>
  <si>
    <t xml:space="preserve">Matrice des paramétrages Backoffice — Homepage Immo24</t>
  </si>
  <si>
    <t xml:space="preserve">Domaine</t>
  </si>
  <si>
    <t xml:space="preserve">Module BO</t>
  </si>
  <si>
    <t xml:space="preserve">Paramètres configurables</t>
  </si>
  <si>
    <t xml:space="preserve">Rôle BO</t>
  </si>
  <si>
    <t xml:space="preserve">US référencées</t>
  </si>
  <si>
    <t xml:space="preserve">Branding global</t>
  </si>
  <si>
    <t xml:space="preserve">Navbar / Footer</t>
  </si>
  <si>
    <t xml:space="preserve">Logo, nom, tagline, palette, devises</t>
  </si>
  <si>
    <t xml:space="preserve">Brand Manager</t>
  </si>
  <si>
    <t xml:space="preserve">Menus &amp; Navigation</t>
  </si>
  <si>
    <t xml:space="preserve">Navbar &gt; Menu principal</t>
  </si>
  <si>
    <t xml:space="preserve">CRUD items menu (FR/AR), sous-menus, ordre, visibilité</t>
  </si>
  <si>
    <t xml:space="preserve">Content Editor</t>
  </si>
  <si>
    <t xml:space="preserve">US-NAV-05, US-NAV-07</t>
  </si>
  <si>
    <t xml:space="preserve">Hero</t>
  </si>
  <si>
    <t xml:space="preserve">Sections &gt; Hero</t>
  </si>
  <si>
    <t xml:space="preserve">Visuel, overlay, titre, sous-titre, CTA1, CTA2, planification, A/B</t>
  </si>
  <si>
    <t xml:space="preserve">Marketing</t>
  </si>
  <si>
    <t xml:space="preserve">US-HER-04, US-HER-05</t>
  </si>
  <si>
    <t xml:space="preserve">Widget recherche</t>
  </si>
  <si>
    <t xml:space="preserve">Sections &gt; Widget recherche</t>
  </si>
  <si>
    <t xml:space="preserve">Onglets, types de bien, placeholder, boutons, ordre, AI on/off</t>
  </si>
  <si>
    <t xml:space="preserve">Product / Tech</t>
  </si>
  <si>
    <t xml:space="preserve">Projets en vogue</t>
  </si>
  <si>
    <t xml:space="preserve">Sections &gt; Projets phares</t>
  </si>
  <si>
    <t xml:space="preserve">Mode auto/manuel, sélection ordonnée, badges, layout</t>
  </si>
  <si>
    <t xml:space="preserve">US-PRO-04, US-PRO-05</t>
  </si>
  <si>
    <t xml:space="preserve">Badges projets</t>
  </si>
  <si>
    <t xml:space="preserve">Référentiel &gt; Badges</t>
  </si>
  <si>
    <t xml:space="preserve">Label FR/AR, couleur, icône</t>
  </si>
  <si>
    <t xml:space="preserve">Estimation bannière</t>
  </si>
  <si>
    <t xml:space="preserve">Sections &gt; Estimation</t>
  </si>
  <si>
    <t xml:space="preserve">Titre, sous-titre, image, CTA, couleur, planification, bénéfices</t>
  </si>
  <si>
    <t xml:space="preserve">Dernières annonces</t>
  </si>
  <si>
    <t xml:space="preserve">Sections &gt; Annonces</t>
  </si>
  <si>
    <t xml:space="preserve">Mode auto/manuel, filtres, limite, blacklist promoteurs, CTA, visibilité</t>
  </si>
  <si>
    <t xml:space="preserve">US-ANN-06, US-ANN-08</t>
  </si>
  <si>
    <t xml:space="preserve">Chips filtres annonces</t>
  </si>
  <si>
    <t xml:space="preserve">Référentiel &gt; Chips</t>
  </si>
  <si>
    <t xml:space="preserve">CRUD chips, mapping filtre, ordre, visibilité, chip par défaut</t>
  </si>
  <si>
    <t xml:space="preserve">Articles &amp; Blog</t>
  </si>
  <si>
    <t xml:space="preserve">Blog &gt; Articles</t>
  </si>
  <si>
    <t xml:space="preserve">CRUD complet, workflow publication, SEO article, planning</t>
  </si>
  <si>
    <t xml:space="preserve">Section Actualités HP</t>
  </si>
  <si>
    <t xml:space="preserve">Sections &gt; Actualités</t>
  </si>
  <si>
    <t xml:space="preserve">Mode auto/manuel, catégories (CRUD), titre, visibilité</t>
  </si>
  <si>
    <t xml:space="preserve">Partenaires</t>
  </si>
  <si>
    <t xml:space="preserve">CRUD partenaires, badge officiel, ordre, palette, limite affichée</t>
  </si>
  <si>
    <t xml:space="preserve">Sales / Marketing</t>
  </si>
  <si>
    <t xml:space="preserve">Footer</t>
  </si>
  <si>
    <t xml:space="preserve">Colonnes, liens, réseaux sociaux, copyright, contacts, newsletter toggle</t>
  </si>
  <si>
    <t xml:space="preserve">CTA thématiques</t>
  </si>
  <si>
    <t xml:space="preserve">Sections &gt; CTA thématiques</t>
  </si>
  <si>
    <t xml:space="preserve">CRUD CTA, position page, ordre, visibilité, prévisualisation</t>
  </si>
  <si>
    <t xml:space="preserve">Cookies / RGPD</t>
  </si>
  <si>
    <t xml:space="preserve">Conformité &gt; Cookies</t>
  </si>
  <si>
    <t xml:space="preserve">Catégories, fournisseurs, descriptions, journal des consentements</t>
  </si>
  <si>
    <t xml:space="preserve">DPO / Legal</t>
  </si>
  <si>
    <t xml:space="preserve">SEO Homepage</t>
  </si>
  <si>
    <t xml:space="preserve">SEO &gt; Homepage</t>
  </si>
  <si>
    <t xml:space="preserve">Title, meta description, OG image, schema.org, hreflang</t>
  </si>
  <si>
    <t xml:space="preserve">SEO / Marketing</t>
  </si>
  <si>
    <t xml:space="preserve">Analytics</t>
  </si>
  <si>
    <t xml:space="preserve">ID GA4, GTM, events activables, conformité RGPD, dashboard</t>
  </si>
  <si>
    <t xml:space="preserve">Data / Product</t>
  </si>
  <si>
    <t xml:space="preserve">i18n FR/AR</t>
  </si>
  <si>
    <t xml:space="preserve">Paramètres &gt; Langues</t>
  </si>
  <si>
    <t xml:space="preserve">Langues actives, langue par défaut, traduction des contenus</t>
  </si>
  <si>
    <t xml:space="preserve">Roadmap proposée — 4 sprints</t>
  </si>
  <si>
    <t xml:space="preserve">Nom</t>
  </si>
  <si>
    <t xml:space="preserve">Contenu</t>
  </si>
  <si>
    <t xml:space="preserve">Objectif</t>
  </si>
  <si>
    <t xml:space="preserve">Nb US</t>
  </si>
  <si>
    <t xml:space="preserve">Sprint 1 — Foundations</t>
  </si>
  <si>
    <t xml:space="preserve">Navbar, Hero, Widget recherche, Cookies</t>
  </si>
  <si>
    <t xml:space="preserve">Socle navigation + arrivée</t>
  </si>
  <si>
    <t xml:space="preserve">Sprint 2 — Découverte</t>
  </si>
  <si>
    <t xml:space="preserve">Projets, Annonces, Footer, SEO, Perf, A11y</t>
  </si>
  <si>
    <t xml:space="preserve">MVP visible utilisateur</t>
  </si>
  <si>
    <t xml:space="preserve">Sprint 3 — Engagement</t>
  </si>
  <si>
    <t xml:space="preserve">Actualités, Partenaires, CTA thématiques, Favoris, Analytics</t>
  </si>
  <si>
    <t xml:space="preserve">Conversion &amp; rétention</t>
  </si>
  <si>
    <t xml:space="preserve">Sprint 4 — Innovation</t>
  </si>
  <si>
    <t xml:space="preserve">Recherche IA, Carousel photos, Filtres articles</t>
  </si>
  <si>
    <t xml:space="preserve">Différenciation marché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</si>
</sst>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FFFFFF"/>
      <name val="Calibri"/>
      <family val="0"/>
      <charset val="1"/>
    </font>
    <font>
      <i val="true"/>
      <sz val="14"/>
      <color rgb="FF595959"/>
      <name val="Calibri"/>
      <family val="0"/>
      <charset val="1"/>
    </font>
    <font>
      <b val="true"/>
      <sz val="11"/>
      <color rgb="FF1F4E78"/>
      <name val="Cambria"/>
      <family val="0"/>
      <charset val="1"/>
    </font>
    <font>
      <sz val="11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8"/>
      <color rgb="FF1F4E78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mbria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F4E78"/>
        <bgColor rgb="FF264478"/>
      </patternFill>
    </fill>
    <fill>
      <patternFill patternType="solid">
        <fgColor rgb="FFD9E1F2"/>
        <bgColor rgb="FFF2F2F2"/>
      </patternFill>
    </fill>
    <fill>
      <patternFill patternType="solid">
        <fgColor rgb="FFC00000"/>
        <bgColor rgb="FF800000"/>
      </patternFill>
    </fill>
    <fill>
      <patternFill patternType="solid">
        <fgColor rgb="FFED7D31"/>
        <bgColor rgb="FFFF9900"/>
      </patternFill>
    </fill>
    <fill>
      <patternFill patternType="solid">
        <fgColor rgb="FFFFC000"/>
        <bgColor rgb="FFFF9900"/>
      </patternFill>
    </fill>
    <fill>
      <patternFill patternType="solid">
        <fgColor rgb="FFBFBFBF"/>
        <bgColor rgb="FFA5A5A5"/>
      </patternFill>
    </fill>
    <fill>
      <patternFill patternType="solid">
        <fgColor rgb="FF4472C4"/>
        <bgColor rgb="FF5B9BD5"/>
      </patternFill>
    </fill>
    <fill>
      <patternFill patternType="solid">
        <fgColor rgb="FF70AD47"/>
        <bgColor rgb="FF99CC00"/>
      </patternFill>
    </fill>
    <fill>
      <patternFill patternType="solid">
        <fgColor rgb="FF5B9BD5"/>
        <bgColor rgb="FF4472C4"/>
      </patternFill>
    </fill>
    <fill>
      <patternFill patternType="solid">
        <fgColor rgb="FFA5A5A5"/>
        <bgColor rgb="FFBFBFBF"/>
      </patternFill>
    </fill>
    <fill>
      <patternFill patternType="solid">
        <fgColor rgb="FF9966CC"/>
        <bgColor rgb="FFD060A0"/>
      </patternFill>
    </fill>
    <fill>
      <patternFill patternType="solid">
        <fgColor rgb="FF808080"/>
        <bgColor rgb="FF9966CC"/>
      </patternFill>
    </fill>
    <fill>
      <patternFill patternType="solid">
        <fgColor rgb="FFD060A0"/>
        <bgColor rgb="FF9966CC"/>
      </patternFill>
    </fill>
    <fill>
      <patternFill patternType="solid">
        <fgColor rgb="FF264478"/>
        <bgColor rgb="FF1F4E78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1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64478"/>
          <bgColor rgb="FF000000"/>
        </patternFill>
      </fill>
    </dxf>
    <dxf>
      <fill>
        <patternFill patternType="solid">
          <fgColor rgb="FF4472C4"/>
          <bgColor rgb="FF000000"/>
        </patternFill>
      </fill>
    </dxf>
    <dxf>
      <fill>
        <patternFill patternType="solid">
          <fgColor rgb="FF5B9BD5"/>
          <bgColor rgb="FF000000"/>
        </patternFill>
      </fill>
    </dxf>
    <dxf>
      <fill>
        <patternFill patternType="solid">
          <fgColor rgb="FF70AD47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9966CC"/>
          <bgColor rgb="FF000000"/>
        </patternFill>
      </fill>
    </dxf>
    <dxf>
      <fill>
        <patternFill patternType="solid">
          <fgColor rgb="FFA5A5A5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D060A0"/>
          <bgColor rgb="FF000000"/>
        </patternFill>
      </fill>
    </dxf>
    <dxf>
      <fill>
        <patternFill patternType="solid">
          <fgColor rgb="FFED7D31"/>
          <bgColor rgb="FF000000"/>
        </patternFill>
      </fill>
    </dxf>
    <dxf>
      <fill>
        <patternFill patternType="solid">
          <fgColor rgb="FFFFC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2F2F2"/>
      <rgbColor rgb="FFCCFFFF"/>
      <rgbColor rgb="FF660066"/>
      <rgbColor rgb="FFD060A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9966CC"/>
      <rgbColor rgb="FFFFCC99"/>
      <rgbColor rgb="FF4472C4"/>
      <rgbColor rgb="FF33CCCC"/>
      <rgbColor rgb="FF99CC00"/>
      <rgbColor rgb="FFFFC000"/>
      <rgbColor rgb="FFFF9900"/>
      <rgbColor rgb="FFED7D31"/>
      <rgbColor rgb="FF595959"/>
      <rgbColor rgb="FFA5A5A5"/>
      <rgbColor rgb="FF1F4E78"/>
      <rgbColor rgb="FF70AD47"/>
      <rgbColor rgb="FF003300"/>
      <rgbColor rgb="FF333300"/>
      <rgbColor rgb="FF993300"/>
      <rgbColor rgb="FF993366"/>
      <rgbColor rgb="FF2644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7" min="4" style="0" width="18"/>
    <col collapsed="false" customWidth="true" hidden="false" outlineLevel="0" max="8" min="8" style="0" width="22"/>
  </cols>
  <sheetData>
    <row r="2" customFormat="false" ht="1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1"/>
      <c r="C3" s="1"/>
      <c r="D3" s="1"/>
      <c r="E3" s="1"/>
      <c r="F3" s="1"/>
      <c r="G3" s="1"/>
      <c r="H3" s="1"/>
    </row>
    <row r="4" customFormat="false" ht="17.35" hidden="false" customHeight="true" outlineLevel="0" collapsed="false">
      <c r="B4" s="2" t="s">
        <v>1</v>
      </c>
      <c r="C4" s="2"/>
      <c r="D4" s="2"/>
      <c r="E4" s="2"/>
      <c r="F4" s="2"/>
      <c r="G4" s="2"/>
      <c r="H4" s="2"/>
    </row>
    <row r="6" customFormat="false" ht="15" hidden="false" customHeight="false" outlineLevel="0" collapsed="false">
      <c r="B6" s="3" t="s">
        <v>2</v>
      </c>
      <c r="C6" s="4" t="s">
        <v>3</v>
      </c>
      <c r="D6" s="4"/>
      <c r="E6" s="4"/>
      <c r="F6" s="4"/>
      <c r="G6" s="4"/>
      <c r="H6" s="4"/>
    </row>
    <row r="7" customFormat="false" ht="15" hidden="false" customHeight="false" outlineLevel="0" collapsed="false">
      <c r="B7" s="3" t="s">
        <v>4</v>
      </c>
      <c r="C7" s="4" t="s">
        <v>5</v>
      </c>
      <c r="D7" s="4"/>
      <c r="E7" s="4"/>
      <c r="F7" s="4"/>
      <c r="G7" s="4"/>
      <c r="H7" s="4"/>
    </row>
    <row r="8" customFormat="false" ht="15" hidden="false" customHeight="false" outlineLevel="0" collapsed="false">
      <c r="B8" s="3" t="s">
        <v>6</v>
      </c>
      <c r="C8" s="4" t="s">
        <v>7</v>
      </c>
      <c r="D8" s="4"/>
      <c r="E8" s="4"/>
      <c r="F8" s="4"/>
      <c r="G8" s="4"/>
      <c r="H8" s="4"/>
    </row>
    <row r="9" customFormat="false" ht="15" hidden="false" customHeight="false" outlineLevel="0" collapsed="false">
      <c r="B9" s="3" t="s">
        <v>8</v>
      </c>
      <c r="C9" s="4" t="s">
        <v>9</v>
      </c>
      <c r="D9" s="4"/>
      <c r="E9" s="4"/>
      <c r="F9" s="4"/>
      <c r="G9" s="4"/>
      <c r="H9" s="4"/>
    </row>
    <row r="10" customFormat="false" ht="15" hidden="false" customHeight="false" outlineLevel="0" collapsed="false">
      <c r="B10" s="3" t="s">
        <v>10</v>
      </c>
      <c r="C10" s="4" t="s">
        <v>11</v>
      </c>
      <c r="D10" s="4"/>
      <c r="E10" s="4"/>
      <c r="F10" s="4"/>
      <c r="G10" s="4"/>
      <c r="H10" s="4"/>
    </row>
    <row r="11" customFormat="false" ht="15" hidden="false" customHeight="false" outlineLevel="0" collapsed="false">
      <c r="B11" s="3" t="s">
        <v>12</v>
      </c>
      <c r="C11" s="4" t="s">
        <v>13</v>
      </c>
      <c r="D11" s="4"/>
      <c r="E11" s="4"/>
      <c r="F11" s="4"/>
      <c r="G11" s="4"/>
      <c r="H11" s="4"/>
    </row>
    <row r="12" customFormat="false" ht="15" hidden="false" customHeight="false" outlineLevel="0" collapsed="false">
      <c r="B12" s="3" t="s">
        <v>14</v>
      </c>
      <c r="C12" s="4" t="s">
        <v>15</v>
      </c>
      <c r="D12" s="4"/>
      <c r="E12" s="4"/>
      <c r="F12" s="4"/>
      <c r="G12" s="4"/>
      <c r="H12" s="4"/>
    </row>
    <row r="13" customFormat="false" ht="15" hidden="false" customHeight="false" outlineLevel="0" collapsed="false">
      <c r="B13" s="3" t="s">
        <v>16</v>
      </c>
      <c r="C13" s="4" t="s">
        <v>17</v>
      </c>
      <c r="D13" s="4"/>
      <c r="E13" s="4"/>
      <c r="F13" s="4"/>
      <c r="G13" s="4"/>
      <c r="H13" s="4"/>
    </row>
    <row r="16" customFormat="false" ht="15" hidden="false" customHeight="true" outlineLevel="0" collapsed="false">
      <c r="B16" s="5" t="s">
        <v>18</v>
      </c>
      <c r="C16" s="5"/>
      <c r="D16" s="5"/>
      <c r="E16" s="5"/>
      <c r="F16" s="5"/>
      <c r="G16" s="5"/>
      <c r="H16" s="5"/>
    </row>
    <row r="17" customFormat="false" ht="15" hidden="false" customHeight="false" outlineLevel="0" collapsed="false">
      <c r="B17" s="6" t="s">
        <v>19</v>
      </c>
      <c r="C17" s="7" t="s">
        <v>20</v>
      </c>
      <c r="D17" s="7"/>
      <c r="E17" s="7"/>
      <c r="F17" s="7"/>
      <c r="G17" s="7"/>
      <c r="H17" s="7"/>
    </row>
    <row r="18" customFormat="false" ht="15" hidden="false" customHeight="false" outlineLevel="0" collapsed="false">
      <c r="B18" s="8" t="s">
        <v>21</v>
      </c>
      <c r="C18" s="7" t="s">
        <v>22</v>
      </c>
      <c r="D18" s="7"/>
      <c r="E18" s="7"/>
      <c r="F18" s="7"/>
      <c r="G18" s="7"/>
      <c r="H18" s="7"/>
    </row>
    <row r="19" customFormat="false" ht="15" hidden="false" customHeight="false" outlineLevel="0" collapsed="false">
      <c r="B19" s="9" t="s">
        <v>23</v>
      </c>
      <c r="C19" s="7" t="s">
        <v>24</v>
      </c>
      <c r="D19" s="7"/>
      <c r="E19" s="7"/>
      <c r="F19" s="7"/>
      <c r="G19" s="7"/>
      <c r="H19" s="7"/>
    </row>
    <row r="20" customFormat="false" ht="15" hidden="false" customHeight="false" outlineLevel="0" collapsed="false">
      <c r="B20" s="10" t="s">
        <v>25</v>
      </c>
      <c r="C20" s="7" t="s">
        <v>26</v>
      </c>
      <c r="D20" s="7"/>
      <c r="E20" s="7"/>
      <c r="F20" s="7"/>
      <c r="G20" s="7"/>
      <c r="H20" s="7"/>
    </row>
  </sheetData>
  <mergeCells count="15">
    <mergeCell ref="B2:H3"/>
    <mergeCell ref="B4:H4"/>
    <mergeCell ref="C6:H6"/>
    <mergeCell ref="C7:H7"/>
    <mergeCell ref="C8:H8"/>
    <mergeCell ref="C9:H9"/>
    <mergeCell ref="C10:H10"/>
    <mergeCell ref="C11:H11"/>
    <mergeCell ref="C12:H12"/>
    <mergeCell ref="C13:H13"/>
    <mergeCell ref="B16:H16"/>
    <mergeCell ref="C17:H17"/>
    <mergeCell ref="C18:H18"/>
    <mergeCell ref="C19:H19"/>
    <mergeCell ref="C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4"/>
  </cols>
  <sheetData>
    <row r="1" customFormat="false" ht="22.05" hidden="false" customHeight="true" outlineLevel="0" collapsed="false">
      <c r="A1" s="11" t="s">
        <v>27</v>
      </c>
      <c r="B1" s="11"/>
      <c r="C1" s="11"/>
      <c r="D1" s="11"/>
      <c r="E1" s="11"/>
      <c r="F1" s="11"/>
    </row>
    <row r="3" customFormat="false" ht="15" hidden="false" customHeight="false" outlineLevel="0" collapsed="false">
      <c r="A3" s="12" t="s">
        <v>28</v>
      </c>
      <c r="B3" s="12" t="s">
        <v>29</v>
      </c>
      <c r="C3" s="12" t="s">
        <v>30</v>
      </c>
      <c r="D3" s="12" t="s">
        <v>31</v>
      </c>
      <c r="E3" s="12" t="s">
        <v>32</v>
      </c>
      <c r="F3" s="12" t="s">
        <v>33</v>
      </c>
    </row>
    <row r="4" customFormat="false" ht="15" hidden="false" customHeight="false" outlineLevel="0" collapsed="false">
      <c r="A4" s="13" t="s">
        <v>34</v>
      </c>
      <c r="B4" s="14" t="n">
        <v>4</v>
      </c>
      <c r="C4" s="14" t="n">
        <v>3</v>
      </c>
      <c r="D4" s="14" t="n">
        <f aca="false">B4+C4</f>
        <v>7</v>
      </c>
      <c r="E4" s="14" t="n">
        <v>34</v>
      </c>
      <c r="F4" s="15" t="n">
        <v>0.571428571428571</v>
      </c>
    </row>
    <row r="5" customFormat="false" ht="15" hidden="false" customHeight="false" outlineLevel="0" collapsed="false">
      <c r="A5" s="16" t="s">
        <v>35</v>
      </c>
      <c r="B5" s="14" t="n">
        <v>3</v>
      </c>
      <c r="C5" s="14" t="n">
        <v>2</v>
      </c>
      <c r="D5" s="14" t="n">
        <f aca="false">B5+C5</f>
        <v>5</v>
      </c>
      <c r="E5" s="14" t="n">
        <v>17</v>
      </c>
      <c r="F5" s="15" t="n">
        <v>1</v>
      </c>
    </row>
    <row r="6" customFormat="false" ht="15" hidden="false" customHeight="false" outlineLevel="0" collapsed="false">
      <c r="A6" s="17" t="s">
        <v>36</v>
      </c>
      <c r="B6" s="14" t="n">
        <v>9</v>
      </c>
      <c r="C6" s="14" t="n">
        <v>1</v>
      </c>
      <c r="D6" s="14" t="n">
        <f aca="false">B6+C6</f>
        <v>10</v>
      </c>
      <c r="E6" s="14" t="n">
        <v>48</v>
      </c>
      <c r="F6" s="15" t="n">
        <v>0.6</v>
      </c>
    </row>
    <row r="7" customFormat="false" ht="15" hidden="false" customHeight="false" outlineLevel="0" collapsed="false">
      <c r="A7" s="18" t="s">
        <v>37</v>
      </c>
      <c r="B7" s="14" t="n">
        <v>3</v>
      </c>
      <c r="C7" s="14" t="n">
        <v>2</v>
      </c>
      <c r="D7" s="14" t="n">
        <f aca="false">B7+C7</f>
        <v>5</v>
      </c>
      <c r="E7" s="14" t="n">
        <v>15</v>
      </c>
      <c r="F7" s="15" t="n">
        <v>0.4</v>
      </c>
    </row>
    <row r="8" customFormat="false" ht="15" hidden="false" customHeight="false" outlineLevel="0" collapsed="false">
      <c r="A8" s="19" t="s">
        <v>38</v>
      </c>
      <c r="B8" s="14" t="n">
        <v>2</v>
      </c>
      <c r="C8" s="14" t="n">
        <v>1</v>
      </c>
      <c r="D8" s="14" t="n">
        <f aca="false">B8+C8</f>
        <v>3</v>
      </c>
      <c r="E8" s="14" t="n">
        <v>8</v>
      </c>
      <c r="F8" s="15" t="n">
        <v>0.333333333333333</v>
      </c>
    </row>
    <row r="9" customFormat="false" ht="15" hidden="false" customHeight="false" outlineLevel="0" collapsed="false">
      <c r="A9" s="20" t="s">
        <v>39</v>
      </c>
      <c r="B9" s="14" t="n">
        <v>5</v>
      </c>
      <c r="C9" s="14" t="n">
        <v>3</v>
      </c>
      <c r="D9" s="14" t="n">
        <f aca="false">B9+C9</f>
        <v>8</v>
      </c>
      <c r="E9" s="14" t="n">
        <v>28</v>
      </c>
      <c r="F9" s="15" t="n">
        <v>0.375</v>
      </c>
    </row>
    <row r="10" customFormat="false" ht="15" hidden="false" customHeight="false" outlineLevel="0" collapsed="false">
      <c r="A10" s="21" t="s">
        <v>40</v>
      </c>
      <c r="B10" s="14" t="n">
        <v>2</v>
      </c>
      <c r="C10" s="14" t="n">
        <v>2</v>
      </c>
      <c r="D10" s="14" t="n">
        <f aca="false">B10+C10</f>
        <v>4</v>
      </c>
      <c r="E10" s="14" t="n">
        <v>25</v>
      </c>
      <c r="F10" s="15" t="n">
        <v>0.25</v>
      </c>
    </row>
    <row r="11" customFormat="false" ht="15" hidden="false" customHeight="false" outlineLevel="0" collapsed="false">
      <c r="A11" s="22" t="s">
        <v>41</v>
      </c>
      <c r="B11" s="14" t="n">
        <v>1</v>
      </c>
      <c r="C11" s="14" t="n">
        <v>1</v>
      </c>
      <c r="D11" s="14" t="n">
        <f aca="false">B11+C11</f>
        <v>2</v>
      </c>
      <c r="E11" s="14" t="n">
        <v>13</v>
      </c>
      <c r="F11" s="15" t="n">
        <v>0.5</v>
      </c>
    </row>
    <row r="12" customFormat="false" ht="15" hidden="false" customHeight="false" outlineLevel="0" collapsed="false">
      <c r="A12" s="23" t="s">
        <v>42</v>
      </c>
      <c r="B12" s="14" t="n">
        <v>2</v>
      </c>
      <c r="C12" s="14" t="n">
        <v>1</v>
      </c>
      <c r="D12" s="14" t="n">
        <f aca="false">B12+C12</f>
        <v>3</v>
      </c>
      <c r="E12" s="14" t="n">
        <v>13</v>
      </c>
      <c r="F12" s="15" t="n">
        <v>0.666666666666667</v>
      </c>
    </row>
    <row r="13" customFormat="false" ht="15" hidden="false" customHeight="false" outlineLevel="0" collapsed="false">
      <c r="A13" s="24" t="s">
        <v>43</v>
      </c>
      <c r="B13" s="14" t="n">
        <v>1</v>
      </c>
      <c r="C13" s="14" t="n">
        <v>1</v>
      </c>
      <c r="D13" s="14" t="n">
        <f aca="false">B13+C13</f>
        <v>2</v>
      </c>
      <c r="E13" s="14" t="n">
        <v>8</v>
      </c>
      <c r="F13" s="15" t="n">
        <v>0</v>
      </c>
    </row>
    <row r="14" customFormat="false" ht="15" hidden="false" customHeight="false" outlineLevel="0" collapsed="false">
      <c r="A14" s="25" t="s">
        <v>44</v>
      </c>
      <c r="B14" s="14" t="n">
        <v>5</v>
      </c>
      <c r="C14" s="14" t="n">
        <v>1</v>
      </c>
      <c r="D14" s="14" t="n">
        <f aca="false">B14+C14</f>
        <v>6</v>
      </c>
      <c r="E14" s="14" t="n">
        <v>42</v>
      </c>
      <c r="F14" s="15" t="n">
        <v>0.833333333333333</v>
      </c>
    </row>
    <row r="15" customFormat="false" ht="15" hidden="false" customHeight="false" outlineLevel="0" collapsed="false">
      <c r="A15" s="26" t="s">
        <v>45</v>
      </c>
      <c r="B15" s="27" t="n">
        <f aca="false">SUM(B4:B14)</f>
        <v>37</v>
      </c>
      <c r="C15" s="27" t="n">
        <f aca="false">SUM(C4:C14)</f>
        <v>18</v>
      </c>
      <c r="D15" s="27" t="n">
        <f aca="false">SUM(D4:D14)</f>
        <v>55</v>
      </c>
      <c r="E15" s="27" t="n">
        <f aca="false">SUM(E4:E14)</f>
        <v>251</v>
      </c>
      <c r="F15" s="28" t="n">
        <f aca="false">AVERAGE(F4:F14)</f>
        <v>0.502705627705628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60"/>
    <col collapsed="false" customWidth="true" hidden="false" outlineLevel="0" max="6" min="6" style="0" width="70"/>
    <col collapsed="false" customWidth="true" hidden="false" outlineLevel="0" max="7" min="7" style="0" width="4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8"/>
    <col collapsed="false" customWidth="true" hidden="false" outlineLevel="0" max="12" min="12" style="0" width="50"/>
  </cols>
  <sheetData>
    <row r="1" customFormat="false" ht="30" hidden="false" customHeight="true" outlineLevel="0" collapsed="false">
      <c r="A1" s="12" t="s">
        <v>46</v>
      </c>
      <c r="B1" s="12" t="s">
        <v>28</v>
      </c>
      <c r="C1" s="12" t="s">
        <v>47</v>
      </c>
      <c r="D1" s="12" t="s">
        <v>48</v>
      </c>
      <c r="E1" s="12" t="s">
        <v>49</v>
      </c>
      <c r="F1" s="12" t="s">
        <v>50</v>
      </c>
      <c r="G1" s="12" t="s">
        <v>51</v>
      </c>
      <c r="H1" s="12" t="s">
        <v>52</v>
      </c>
      <c r="I1" s="12" t="s">
        <v>53</v>
      </c>
      <c r="J1" s="12" t="s">
        <v>54</v>
      </c>
      <c r="K1" s="12" t="s">
        <v>55</v>
      </c>
      <c r="L1" s="12" t="s">
        <v>56</v>
      </c>
    </row>
    <row r="2" customFormat="false" ht="129.75" hidden="false" customHeight="true" outlineLevel="0" collapsed="false">
      <c r="A2" s="29" t="s">
        <v>57</v>
      </c>
      <c r="B2" s="30" t="s">
        <v>34</v>
      </c>
      <c r="C2" s="29" t="s">
        <v>58</v>
      </c>
      <c r="D2" s="31" t="s">
        <v>59</v>
      </c>
      <c r="E2" s="29" t="s">
        <v>60</v>
      </c>
      <c r="F2" s="29" t="s">
        <v>61</v>
      </c>
      <c r="G2" s="29" t="s">
        <v>62</v>
      </c>
      <c r="H2" s="6" t="s">
        <v>19</v>
      </c>
      <c r="I2" s="14" t="n">
        <v>5</v>
      </c>
      <c r="J2" s="14" t="s">
        <v>63</v>
      </c>
      <c r="K2" s="29" t="s">
        <v>64</v>
      </c>
      <c r="L2" s="29" t="s">
        <v>65</v>
      </c>
    </row>
    <row r="3" customFormat="false" ht="129.75" hidden="false" customHeight="true" outlineLevel="0" collapsed="false">
      <c r="A3" s="29" t="s">
        <v>66</v>
      </c>
      <c r="B3" s="30" t="s">
        <v>34</v>
      </c>
      <c r="C3" s="29" t="s">
        <v>58</v>
      </c>
      <c r="D3" s="31" t="s">
        <v>59</v>
      </c>
      <c r="E3" s="29" t="s">
        <v>67</v>
      </c>
      <c r="F3" s="29" t="s">
        <v>68</v>
      </c>
      <c r="G3" s="29" t="s">
        <v>69</v>
      </c>
      <c r="H3" s="6" t="s">
        <v>19</v>
      </c>
      <c r="I3" s="14" t="n">
        <v>3</v>
      </c>
      <c r="J3" s="14" t="s">
        <v>63</v>
      </c>
      <c r="K3" s="29" t="s">
        <v>70</v>
      </c>
      <c r="L3" s="29" t="s">
        <v>71</v>
      </c>
    </row>
    <row r="4" customFormat="false" ht="129.75" hidden="false" customHeight="true" outlineLevel="0" collapsed="false">
      <c r="A4" s="29" t="s">
        <v>72</v>
      </c>
      <c r="B4" s="30" t="s">
        <v>34</v>
      </c>
      <c r="C4" s="29" t="s">
        <v>58</v>
      </c>
      <c r="D4" s="31" t="s">
        <v>59</v>
      </c>
      <c r="E4" s="29" t="s">
        <v>73</v>
      </c>
      <c r="F4" s="29" t="s">
        <v>74</v>
      </c>
      <c r="G4" s="29" t="s">
        <v>75</v>
      </c>
      <c r="H4" s="6" t="s">
        <v>19</v>
      </c>
      <c r="I4" s="14" t="n">
        <v>5</v>
      </c>
      <c r="J4" s="14" t="s">
        <v>63</v>
      </c>
      <c r="K4" s="29" t="s">
        <v>57</v>
      </c>
      <c r="L4" s="29" t="s">
        <v>65</v>
      </c>
    </row>
    <row r="5" customFormat="false" ht="129.75" hidden="false" customHeight="true" outlineLevel="0" collapsed="false">
      <c r="A5" s="29" t="s">
        <v>76</v>
      </c>
      <c r="B5" s="30" t="s">
        <v>34</v>
      </c>
      <c r="C5" s="29" t="s">
        <v>58</v>
      </c>
      <c r="D5" s="31" t="s">
        <v>59</v>
      </c>
      <c r="E5" s="29" t="s">
        <v>77</v>
      </c>
      <c r="F5" s="29" t="s">
        <v>78</v>
      </c>
      <c r="G5" s="29" t="s">
        <v>79</v>
      </c>
      <c r="H5" s="8" t="s">
        <v>21</v>
      </c>
      <c r="I5" s="14" t="n">
        <v>8</v>
      </c>
      <c r="J5" s="14" t="s">
        <v>80</v>
      </c>
      <c r="K5" s="29" t="s">
        <v>57</v>
      </c>
      <c r="L5" s="29" t="s">
        <v>81</v>
      </c>
    </row>
    <row r="6" customFormat="false" ht="129.75" hidden="false" customHeight="true" outlineLevel="0" collapsed="false">
      <c r="A6" s="29" t="s">
        <v>82</v>
      </c>
      <c r="B6" s="30" t="s">
        <v>34</v>
      </c>
      <c r="C6" s="29" t="s">
        <v>83</v>
      </c>
      <c r="D6" s="32" t="s">
        <v>84</v>
      </c>
      <c r="E6" s="29" t="s">
        <v>85</v>
      </c>
      <c r="F6" s="29" t="s">
        <v>86</v>
      </c>
      <c r="G6" s="29" t="s">
        <v>87</v>
      </c>
      <c r="H6" s="6" t="s">
        <v>19</v>
      </c>
      <c r="I6" s="14" t="n">
        <v>8</v>
      </c>
      <c r="J6" s="14" t="s">
        <v>63</v>
      </c>
      <c r="K6" s="29" t="s">
        <v>64</v>
      </c>
      <c r="L6" s="29" t="s">
        <v>88</v>
      </c>
    </row>
    <row r="7" customFormat="false" ht="129.75" hidden="false" customHeight="true" outlineLevel="0" collapsed="false">
      <c r="A7" s="29" t="s">
        <v>89</v>
      </c>
      <c r="B7" s="30" t="s">
        <v>34</v>
      </c>
      <c r="C7" s="29" t="s">
        <v>83</v>
      </c>
      <c r="D7" s="32" t="s">
        <v>84</v>
      </c>
      <c r="E7" s="29" t="s">
        <v>90</v>
      </c>
      <c r="F7" s="29" t="s">
        <v>91</v>
      </c>
      <c r="G7" s="29" t="s">
        <v>92</v>
      </c>
      <c r="H7" s="8" t="s">
        <v>21</v>
      </c>
      <c r="I7" s="14" t="n">
        <v>3</v>
      </c>
      <c r="J7" s="14" t="s">
        <v>80</v>
      </c>
      <c r="K7" s="29" t="s">
        <v>64</v>
      </c>
      <c r="L7" s="29" t="s">
        <v>93</v>
      </c>
    </row>
    <row r="8" customFormat="false" ht="129.75" hidden="false" customHeight="true" outlineLevel="0" collapsed="false">
      <c r="A8" s="29" t="s">
        <v>94</v>
      </c>
      <c r="B8" s="30" t="s">
        <v>34</v>
      </c>
      <c r="C8" s="29" t="s">
        <v>83</v>
      </c>
      <c r="D8" s="32" t="s">
        <v>84</v>
      </c>
      <c r="E8" s="29" t="s">
        <v>95</v>
      </c>
      <c r="F8" s="29" t="s">
        <v>96</v>
      </c>
      <c r="G8" s="29" t="s">
        <v>97</v>
      </c>
      <c r="H8" s="8" t="s">
        <v>21</v>
      </c>
      <c r="I8" s="14" t="n">
        <v>2</v>
      </c>
      <c r="J8" s="14" t="s">
        <v>80</v>
      </c>
      <c r="K8" s="29" t="s">
        <v>82</v>
      </c>
      <c r="L8" s="29" t="s">
        <v>98</v>
      </c>
    </row>
    <row r="9" customFormat="false" ht="129.75" hidden="false" customHeight="true" outlineLevel="0" collapsed="false">
      <c r="A9" s="29" t="s">
        <v>99</v>
      </c>
      <c r="B9" s="33" t="s">
        <v>35</v>
      </c>
      <c r="C9" s="29" t="s">
        <v>58</v>
      </c>
      <c r="D9" s="31" t="s">
        <v>59</v>
      </c>
      <c r="E9" s="29" t="s">
        <v>100</v>
      </c>
      <c r="F9" s="29" t="s">
        <v>101</v>
      </c>
      <c r="G9" s="29" t="s">
        <v>102</v>
      </c>
      <c r="H9" s="6" t="s">
        <v>19</v>
      </c>
      <c r="I9" s="14" t="n">
        <v>5</v>
      </c>
      <c r="J9" s="14" t="s">
        <v>63</v>
      </c>
      <c r="K9" s="29" t="s">
        <v>64</v>
      </c>
      <c r="L9" s="29" t="s">
        <v>65</v>
      </c>
    </row>
    <row r="10" customFormat="false" ht="129.75" hidden="false" customHeight="true" outlineLevel="0" collapsed="false">
      <c r="A10" s="29" t="s">
        <v>103</v>
      </c>
      <c r="B10" s="33" t="s">
        <v>35</v>
      </c>
      <c r="C10" s="29" t="s">
        <v>58</v>
      </c>
      <c r="D10" s="31" t="s">
        <v>59</v>
      </c>
      <c r="E10" s="29" t="s">
        <v>104</v>
      </c>
      <c r="F10" s="29" t="s">
        <v>105</v>
      </c>
      <c r="G10" s="29" t="s">
        <v>106</v>
      </c>
      <c r="H10" s="6" t="s">
        <v>19</v>
      </c>
      <c r="I10" s="14" t="n">
        <v>2</v>
      </c>
      <c r="J10" s="14" t="s">
        <v>63</v>
      </c>
      <c r="K10" s="29" t="s">
        <v>99</v>
      </c>
      <c r="L10" s="29" t="s">
        <v>107</v>
      </c>
    </row>
    <row r="11" customFormat="false" ht="129.75" hidden="false" customHeight="true" outlineLevel="0" collapsed="false">
      <c r="A11" s="29" t="s">
        <v>108</v>
      </c>
      <c r="B11" s="33" t="s">
        <v>35</v>
      </c>
      <c r="C11" s="29" t="s">
        <v>58</v>
      </c>
      <c r="D11" s="31" t="s">
        <v>59</v>
      </c>
      <c r="E11" s="29" t="s">
        <v>109</v>
      </c>
      <c r="F11" s="29" t="s">
        <v>110</v>
      </c>
      <c r="G11" s="29" t="s">
        <v>111</v>
      </c>
      <c r="H11" s="6" t="s">
        <v>19</v>
      </c>
      <c r="I11" s="14" t="n">
        <v>2</v>
      </c>
      <c r="J11" s="14" t="s">
        <v>63</v>
      </c>
      <c r="K11" s="29" t="s">
        <v>99</v>
      </c>
      <c r="L11" s="29" t="s">
        <v>112</v>
      </c>
    </row>
    <row r="12" customFormat="false" ht="129.75" hidden="false" customHeight="true" outlineLevel="0" collapsed="false">
      <c r="A12" s="29" t="s">
        <v>113</v>
      </c>
      <c r="B12" s="33" t="s">
        <v>35</v>
      </c>
      <c r="C12" s="29" t="s">
        <v>83</v>
      </c>
      <c r="D12" s="32" t="s">
        <v>84</v>
      </c>
      <c r="E12" s="29" t="s">
        <v>114</v>
      </c>
      <c r="F12" s="29" t="s">
        <v>115</v>
      </c>
      <c r="G12" s="29" t="s">
        <v>116</v>
      </c>
      <c r="H12" s="6" t="s">
        <v>19</v>
      </c>
      <c r="I12" s="14" t="n">
        <v>5</v>
      </c>
      <c r="J12" s="14" t="s">
        <v>63</v>
      </c>
      <c r="K12" s="29" t="s">
        <v>64</v>
      </c>
      <c r="L12" s="29" t="s">
        <v>117</v>
      </c>
    </row>
    <row r="13" customFormat="false" ht="129.75" hidden="false" customHeight="true" outlineLevel="0" collapsed="false">
      <c r="A13" s="29" t="s">
        <v>118</v>
      </c>
      <c r="B13" s="33" t="s">
        <v>35</v>
      </c>
      <c r="C13" s="29" t="s">
        <v>83</v>
      </c>
      <c r="D13" s="32" t="s">
        <v>84</v>
      </c>
      <c r="E13" s="29" t="s">
        <v>119</v>
      </c>
      <c r="F13" s="29" t="s">
        <v>120</v>
      </c>
      <c r="G13" s="29" t="s">
        <v>121</v>
      </c>
      <c r="H13" s="6" t="s">
        <v>19</v>
      </c>
      <c r="I13" s="14" t="n">
        <v>3</v>
      </c>
      <c r="J13" s="14" t="s">
        <v>63</v>
      </c>
      <c r="K13" s="29" t="s">
        <v>64</v>
      </c>
      <c r="L13" s="29" t="s">
        <v>122</v>
      </c>
    </row>
    <row r="14" customFormat="false" ht="129.75" hidden="false" customHeight="true" outlineLevel="0" collapsed="false">
      <c r="A14" s="29" t="s">
        <v>123</v>
      </c>
      <c r="B14" s="34" t="s">
        <v>36</v>
      </c>
      <c r="C14" s="29" t="s">
        <v>58</v>
      </c>
      <c r="D14" s="31" t="s">
        <v>59</v>
      </c>
      <c r="E14" s="29" t="s">
        <v>124</v>
      </c>
      <c r="F14" s="29" t="s">
        <v>125</v>
      </c>
      <c r="G14" s="29" t="s">
        <v>126</v>
      </c>
      <c r="H14" s="6" t="s">
        <v>19</v>
      </c>
      <c r="I14" s="14" t="n">
        <v>3</v>
      </c>
      <c r="J14" s="14" t="s">
        <v>63</v>
      </c>
      <c r="K14" s="29" t="s">
        <v>64</v>
      </c>
      <c r="L14" s="29" t="s">
        <v>127</v>
      </c>
    </row>
    <row r="15" customFormat="false" ht="129.75" hidden="false" customHeight="true" outlineLevel="0" collapsed="false">
      <c r="A15" s="29" t="s">
        <v>128</v>
      </c>
      <c r="B15" s="34" t="s">
        <v>36</v>
      </c>
      <c r="C15" s="29" t="s">
        <v>58</v>
      </c>
      <c r="D15" s="31" t="s">
        <v>59</v>
      </c>
      <c r="E15" s="29" t="s">
        <v>129</v>
      </c>
      <c r="F15" s="29" t="s">
        <v>130</v>
      </c>
      <c r="G15" s="29" t="s">
        <v>131</v>
      </c>
      <c r="H15" s="6" t="s">
        <v>19</v>
      </c>
      <c r="I15" s="14" t="n">
        <v>8</v>
      </c>
      <c r="J15" s="14" t="s">
        <v>80</v>
      </c>
      <c r="K15" s="29" t="s">
        <v>64</v>
      </c>
      <c r="L15" s="29" t="s">
        <v>132</v>
      </c>
    </row>
    <row r="16" customFormat="false" ht="129.75" hidden="false" customHeight="true" outlineLevel="0" collapsed="false">
      <c r="A16" s="29" t="s">
        <v>133</v>
      </c>
      <c r="B16" s="34" t="s">
        <v>36</v>
      </c>
      <c r="C16" s="29" t="s">
        <v>58</v>
      </c>
      <c r="D16" s="31" t="s">
        <v>59</v>
      </c>
      <c r="E16" s="29" t="s">
        <v>134</v>
      </c>
      <c r="F16" s="29" t="s">
        <v>135</v>
      </c>
      <c r="G16" s="29" t="s">
        <v>136</v>
      </c>
      <c r="H16" s="6" t="s">
        <v>19</v>
      </c>
      <c r="I16" s="14" t="n">
        <v>2</v>
      </c>
      <c r="J16" s="14" t="s">
        <v>63</v>
      </c>
      <c r="K16" s="29" t="s">
        <v>137</v>
      </c>
      <c r="L16" s="29" t="s">
        <v>138</v>
      </c>
    </row>
    <row r="17" customFormat="false" ht="129.75" hidden="false" customHeight="true" outlineLevel="0" collapsed="false">
      <c r="A17" s="29" t="s">
        <v>139</v>
      </c>
      <c r="B17" s="34" t="s">
        <v>36</v>
      </c>
      <c r="C17" s="29" t="s">
        <v>58</v>
      </c>
      <c r="D17" s="31" t="s">
        <v>59</v>
      </c>
      <c r="E17" s="29" t="s">
        <v>140</v>
      </c>
      <c r="F17" s="29" t="s">
        <v>141</v>
      </c>
      <c r="G17" s="29" t="s">
        <v>142</v>
      </c>
      <c r="H17" s="6" t="s">
        <v>19</v>
      </c>
      <c r="I17" s="14" t="n">
        <v>2</v>
      </c>
      <c r="J17" s="14" t="s">
        <v>63</v>
      </c>
      <c r="K17" s="29" t="s">
        <v>64</v>
      </c>
      <c r="L17" s="29" t="s">
        <v>143</v>
      </c>
    </row>
    <row r="18" customFormat="false" ht="129.75" hidden="false" customHeight="true" outlineLevel="0" collapsed="false">
      <c r="A18" s="29" t="s">
        <v>144</v>
      </c>
      <c r="B18" s="34" t="s">
        <v>36</v>
      </c>
      <c r="C18" s="29" t="s">
        <v>58</v>
      </c>
      <c r="D18" s="31" t="s">
        <v>59</v>
      </c>
      <c r="E18" s="29" t="s">
        <v>145</v>
      </c>
      <c r="F18" s="29" t="s">
        <v>146</v>
      </c>
      <c r="G18" s="29" t="s">
        <v>65</v>
      </c>
      <c r="H18" s="6" t="s">
        <v>19</v>
      </c>
      <c r="I18" s="14" t="n">
        <v>1</v>
      </c>
      <c r="J18" s="14" t="s">
        <v>63</v>
      </c>
      <c r="K18" s="29" t="s">
        <v>64</v>
      </c>
      <c r="L18" s="29" t="s">
        <v>147</v>
      </c>
    </row>
    <row r="19" customFormat="false" ht="129.75" hidden="false" customHeight="true" outlineLevel="0" collapsed="false">
      <c r="A19" s="29" t="s">
        <v>148</v>
      </c>
      <c r="B19" s="34" t="s">
        <v>36</v>
      </c>
      <c r="C19" s="29" t="s">
        <v>58</v>
      </c>
      <c r="D19" s="31" t="s">
        <v>59</v>
      </c>
      <c r="E19" s="29" t="s">
        <v>149</v>
      </c>
      <c r="F19" s="29" t="s">
        <v>150</v>
      </c>
      <c r="G19" s="29" t="s">
        <v>151</v>
      </c>
      <c r="H19" s="8" t="s">
        <v>21</v>
      </c>
      <c r="I19" s="14" t="n">
        <v>3</v>
      </c>
      <c r="J19" s="14" t="s">
        <v>80</v>
      </c>
      <c r="K19" s="29" t="s">
        <v>64</v>
      </c>
      <c r="L19" s="29" t="s">
        <v>152</v>
      </c>
    </row>
    <row r="20" customFormat="false" ht="129.75" hidden="false" customHeight="true" outlineLevel="0" collapsed="false">
      <c r="A20" s="29" t="s">
        <v>153</v>
      </c>
      <c r="B20" s="34" t="s">
        <v>36</v>
      </c>
      <c r="C20" s="29" t="s">
        <v>58</v>
      </c>
      <c r="D20" s="31" t="s">
        <v>59</v>
      </c>
      <c r="E20" s="29" t="s">
        <v>154</v>
      </c>
      <c r="F20" s="29" t="s">
        <v>155</v>
      </c>
      <c r="G20" s="29" t="s">
        <v>156</v>
      </c>
      <c r="H20" s="8" t="s">
        <v>21</v>
      </c>
      <c r="I20" s="14" t="n">
        <v>5</v>
      </c>
      <c r="J20" s="14" t="s">
        <v>80</v>
      </c>
      <c r="K20" s="29" t="s">
        <v>123</v>
      </c>
      <c r="L20" s="29" t="s">
        <v>157</v>
      </c>
    </row>
    <row r="21" customFormat="false" ht="129.75" hidden="false" customHeight="true" outlineLevel="0" collapsed="false">
      <c r="A21" s="29" t="s">
        <v>158</v>
      </c>
      <c r="B21" s="34" t="s">
        <v>36</v>
      </c>
      <c r="C21" s="29" t="s">
        <v>58</v>
      </c>
      <c r="D21" s="31" t="s">
        <v>59</v>
      </c>
      <c r="E21" s="29" t="s">
        <v>159</v>
      </c>
      <c r="F21" s="29" t="s">
        <v>160</v>
      </c>
      <c r="G21" s="29" t="s">
        <v>161</v>
      </c>
      <c r="H21" s="9" t="s">
        <v>23</v>
      </c>
      <c r="I21" s="14" t="n">
        <v>13</v>
      </c>
      <c r="J21" s="14" t="s">
        <v>162</v>
      </c>
      <c r="K21" s="29" t="s">
        <v>64</v>
      </c>
      <c r="L21" s="29" t="s">
        <v>163</v>
      </c>
    </row>
    <row r="22" customFormat="false" ht="129.75" hidden="false" customHeight="true" outlineLevel="0" collapsed="false">
      <c r="A22" s="29" t="s">
        <v>164</v>
      </c>
      <c r="B22" s="34" t="s">
        <v>36</v>
      </c>
      <c r="C22" s="29" t="s">
        <v>58</v>
      </c>
      <c r="D22" s="31" t="s">
        <v>59</v>
      </c>
      <c r="E22" s="29" t="s">
        <v>165</v>
      </c>
      <c r="F22" s="29" t="s">
        <v>166</v>
      </c>
      <c r="G22" s="29" t="s">
        <v>167</v>
      </c>
      <c r="H22" s="9" t="s">
        <v>23</v>
      </c>
      <c r="I22" s="14" t="n">
        <v>3</v>
      </c>
      <c r="J22" s="14" t="s">
        <v>168</v>
      </c>
      <c r="K22" s="29" t="s">
        <v>64</v>
      </c>
      <c r="L22" s="29" t="s">
        <v>65</v>
      </c>
    </row>
    <row r="23" customFormat="false" ht="129.75" hidden="false" customHeight="true" outlineLevel="0" collapsed="false">
      <c r="A23" s="29" t="s">
        <v>137</v>
      </c>
      <c r="B23" s="34" t="s">
        <v>36</v>
      </c>
      <c r="C23" s="29" t="s">
        <v>83</v>
      </c>
      <c r="D23" s="32" t="s">
        <v>84</v>
      </c>
      <c r="E23" s="29" t="s">
        <v>169</v>
      </c>
      <c r="F23" s="29" t="s">
        <v>170</v>
      </c>
      <c r="G23" s="29" t="s">
        <v>171</v>
      </c>
      <c r="H23" s="6" t="s">
        <v>19</v>
      </c>
      <c r="I23" s="14" t="n">
        <v>8</v>
      </c>
      <c r="J23" s="14" t="s">
        <v>63</v>
      </c>
      <c r="K23" s="29" t="s">
        <v>64</v>
      </c>
      <c r="L23" s="29" t="s">
        <v>172</v>
      </c>
    </row>
    <row r="24" customFormat="false" ht="129.75" hidden="false" customHeight="true" outlineLevel="0" collapsed="false">
      <c r="A24" s="29" t="s">
        <v>173</v>
      </c>
      <c r="B24" s="35" t="s">
        <v>37</v>
      </c>
      <c r="C24" s="29" t="s">
        <v>58</v>
      </c>
      <c r="D24" s="31" t="s">
        <v>59</v>
      </c>
      <c r="E24" s="29" t="s">
        <v>174</v>
      </c>
      <c r="F24" s="29" t="s">
        <v>175</v>
      </c>
      <c r="G24" s="29" t="s">
        <v>176</v>
      </c>
      <c r="H24" s="6" t="s">
        <v>19</v>
      </c>
      <c r="I24" s="14" t="n">
        <v>5</v>
      </c>
      <c r="J24" s="14" t="s">
        <v>80</v>
      </c>
      <c r="K24" s="29" t="s">
        <v>177</v>
      </c>
      <c r="L24" s="29" t="s">
        <v>65</v>
      </c>
    </row>
    <row r="25" customFormat="false" ht="129.75" hidden="false" customHeight="true" outlineLevel="0" collapsed="false">
      <c r="A25" s="29" t="s">
        <v>178</v>
      </c>
      <c r="B25" s="35" t="s">
        <v>37</v>
      </c>
      <c r="C25" s="29" t="s">
        <v>58</v>
      </c>
      <c r="D25" s="31" t="s">
        <v>59</v>
      </c>
      <c r="E25" s="29" t="s">
        <v>179</v>
      </c>
      <c r="F25" s="29" t="s">
        <v>180</v>
      </c>
      <c r="G25" s="29" t="s">
        <v>181</v>
      </c>
      <c r="H25" s="8" t="s">
        <v>21</v>
      </c>
      <c r="I25" s="14" t="n">
        <v>2</v>
      </c>
      <c r="J25" s="14" t="s">
        <v>80</v>
      </c>
      <c r="K25" s="29" t="s">
        <v>173</v>
      </c>
      <c r="L25" s="29" t="s">
        <v>182</v>
      </c>
    </row>
    <row r="26" customFormat="false" ht="129.75" hidden="false" customHeight="true" outlineLevel="0" collapsed="false">
      <c r="A26" s="29" t="s">
        <v>183</v>
      </c>
      <c r="B26" s="35" t="s">
        <v>37</v>
      </c>
      <c r="C26" s="29" t="s">
        <v>58</v>
      </c>
      <c r="D26" s="31" t="s">
        <v>59</v>
      </c>
      <c r="E26" s="29" t="s">
        <v>184</v>
      </c>
      <c r="F26" s="29" t="s">
        <v>185</v>
      </c>
      <c r="G26" s="29" t="s">
        <v>65</v>
      </c>
      <c r="H26" s="8" t="s">
        <v>21</v>
      </c>
      <c r="I26" s="14" t="n">
        <v>1</v>
      </c>
      <c r="J26" s="14" t="s">
        <v>80</v>
      </c>
      <c r="K26" s="29" t="s">
        <v>186</v>
      </c>
      <c r="L26" s="29" t="s">
        <v>187</v>
      </c>
    </row>
    <row r="27" customFormat="false" ht="129.75" hidden="false" customHeight="true" outlineLevel="0" collapsed="false">
      <c r="A27" s="29" t="s">
        <v>186</v>
      </c>
      <c r="B27" s="35" t="s">
        <v>37</v>
      </c>
      <c r="C27" s="29" t="s">
        <v>83</v>
      </c>
      <c r="D27" s="32" t="s">
        <v>84</v>
      </c>
      <c r="E27" s="29" t="s">
        <v>188</v>
      </c>
      <c r="F27" s="29" t="s">
        <v>189</v>
      </c>
      <c r="G27" s="29" t="s">
        <v>190</v>
      </c>
      <c r="H27" s="8" t="s">
        <v>21</v>
      </c>
      <c r="I27" s="14" t="n">
        <v>2</v>
      </c>
      <c r="J27" s="14" t="s">
        <v>80</v>
      </c>
      <c r="K27" s="29" t="s">
        <v>64</v>
      </c>
      <c r="L27" s="29" t="s">
        <v>191</v>
      </c>
    </row>
    <row r="28" customFormat="false" ht="129.75" hidden="false" customHeight="true" outlineLevel="0" collapsed="false">
      <c r="A28" s="29" t="s">
        <v>177</v>
      </c>
      <c r="B28" s="35" t="s">
        <v>37</v>
      </c>
      <c r="C28" s="29" t="s">
        <v>83</v>
      </c>
      <c r="D28" s="32" t="s">
        <v>84</v>
      </c>
      <c r="E28" s="29" t="s">
        <v>192</v>
      </c>
      <c r="F28" s="29" t="s">
        <v>193</v>
      </c>
      <c r="G28" s="29" t="s">
        <v>194</v>
      </c>
      <c r="H28" s="6" t="s">
        <v>19</v>
      </c>
      <c r="I28" s="14" t="n">
        <v>5</v>
      </c>
      <c r="J28" s="14" t="s">
        <v>80</v>
      </c>
      <c r="K28" s="29" t="s">
        <v>64</v>
      </c>
      <c r="L28" s="29" t="s">
        <v>195</v>
      </c>
    </row>
    <row r="29" customFormat="false" ht="129.75" hidden="false" customHeight="true" outlineLevel="0" collapsed="false">
      <c r="A29" s="29" t="s">
        <v>196</v>
      </c>
      <c r="B29" s="36" t="s">
        <v>38</v>
      </c>
      <c r="C29" s="29" t="s">
        <v>58</v>
      </c>
      <c r="D29" s="31" t="s">
        <v>59</v>
      </c>
      <c r="E29" s="29" t="s">
        <v>197</v>
      </c>
      <c r="F29" s="29" t="s">
        <v>198</v>
      </c>
      <c r="G29" s="29" t="s">
        <v>199</v>
      </c>
      <c r="H29" s="6" t="s">
        <v>19</v>
      </c>
      <c r="I29" s="14" t="n">
        <v>3</v>
      </c>
      <c r="J29" s="14" t="s">
        <v>80</v>
      </c>
      <c r="K29" s="29" t="s">
        <v>200</v>
      </c>
      <c r="L29" s="29" t="s">
        <v>65</v>
      </c>
    </row>
    <row r="30" customFormat="false" ht="129.75" hidden="false" customHeight="true" outlineLevel="0" collapsed="false">
      <c r="A30" s="29" t="s">
        <v>201</v>
      </c>
      <c r="B30" s="36" t="s">
        <v>38</v>
      </c>
      <c r="C30" s="29" t="s">
        <v>58</v>
      </c>
      <c r="D30" s="31" t="s">
        <v>59</v>
      </c>
      <c r="E30" s="29" t="s">
        <v>202</v>
      </c>
      <c r="F30" s="29" t="s">
        <v>203</v>
      </c>
      <c r="G30" s="29" t="s">
        <v>204</v>
      </c>
      <c r="H30" s="8" t="s">
        <v>21</v>
      </c>
      <c r="I30" s="14" t="n">
        <v>2</v>
      </c>
      <c r="J30" s="14" t="s">
        <v>80</v>
      </c>
      <c r="K30" s="29" t="s">
        <v>196</v>
      </c>
      <c r="L30" s="29" t="s">
        <v>205</v>
      </c>
    </row>
    <row r="31" customFormat="false" ht="129.75" hidden="false" customHeight="true" outlineLevel="0" collapsed="false">
      <c r="A31" s="29" t="s">
        <v>200</v>
      </c>
      <c r="B31" s="36" t="s">
        <v>38</v>
      </c>
      <c r="C31" s="29" t="s">
        <v>83</v>
      </c>
      <c r="D31" s="32" t="s">
        <v>84</v>
      </c>
      <c r="E31" s="29" t="s">
        <v>206</v>
      </c>
      <c r="F31" s="29" t="s">
        <v>207</v>
      </c>
      <c r="G31" s="29" t="s">
        <v>208</v>
      </c>
      <c r="H31" s="8" t="s">
        <v>21</v>
      </c>
      <c r="I31" s="14" t="n">
        <v>3</v>
      </c>
      <c r="J31" s="14" t="s">
        <v>80</v>
      </c>
      <c r="K31" s="29" t="s">
        <v>64</v>
      </c>
      <c r="L31" s="29" t="s">
        <v>209</v>
      </c>
    </row>
    <row r="32" customFormat="false" ht="129.75" hidden="false" customHeight="true" outlineLevel="0" collapsed="false">
      <c r="A32" s="29" t="s">
        <v>210</v>
      </c>
      <c r="B32" s="37" t="s">
        <v>39</v>
      </c>
      <c r="C32" s="29" t="s">
        <v>58</v>
      </c>
      <c r="D32" s="31" t="s">
        <v>59</v>
      </c>
      <c r="E32" s="29" t="s">
        <v>211</v>
      </c>
      <c r="F32" s="29" t="s">
        <v>212</v>
      </c>
      <c r="G32" s="29" t="s">
        <v>213</v>
      </c>
      <c r="H32" s="6" t="s">
        <v>19</v>
      </c>
      <c r="I32" s="14" t="n">
        <v>5</v>
      </c>
      <c r="J32" s="14" t="s">
        <v>80</v>
      </c>
      <c r="K32" s="29" t="s">
        <v>214</v>
      </c>
      <c r="L32" s="29" t="s">
        <v>65</v>
      </c>
    </row>
    <row r="33" customFormat="false" ht="129.75" hidden="false" customHeight="true" outlineLevel="0" collapsed="false">
      <c r="A33" s="29" t="s">
        <v>215</v>
      </c>
      <c r="B33" s="37" t="s">
        <v>39</v>
      </c>
      <c r="C33" s="29" t="s">
        <v>58</v>
      </c>
      <c r="D33" s="31" t="s">
        <v>59</v>
      </c>
      <c r="E33" s="29" t="s">
        <v>216</v>
      </c>
      <c r="F33" s="29" t="s">
        <v>217</v>
      </c>
      <c r="G33" s="29" t="s">
        <v>218</v>
      </c>
      <c r="H33" s="8" t="s">
        <v>21</v>
      </c>
      <c r="I33" s="14" t="n">
        <v>3</v>
      </c>
      <c r="J33" s="14" t="s">
        <v>168</v>
      </c>
      <c r="K33" s="29" t="s">
        <v>219</v>
      </c>
      <c r="L33" s="29" t="s">
        <v>65</v>
      </c>
    </row>
    <row r="34" customFormat="false" ht="129.75" hidden="false" customHeight="true" outlineLevel="0" collapsed="false">
      <c r="A34" s="29" t="s">
        <v>220</v>
      </c>
      <c r="B34" s="37" t="s">
        <v>39</v>
      </c>
      <c r="C34" s="29" t="s">
        <v>58</v>
      </c>
      <c r="D34" s="31" t="s">
        <v>59</v>
      </c>
      <c r="E34" s="29" t="s">
        <v>221</v>
      </c>
      <c r="F34" s="29" t="s">
        <v>222</v>
      </c>
      <c r="G34" s="29" t="s">
        <v>223</v>
      </c>
      <c r="H34" s="8" t="s">
        <v>21</v>
      </c>
      <c r="I34" s="14" t="n">
        <v>5</v>
      </c>
      <c r="J34" s="14" t="s">
        <v>168</v>
      </c>
      <c r="K34" s="29" t="s">
        <v>64</v>
      </c>
      <c r="L34" s="29" t="s">
        <v>224</v>
      </c>
    </row>
    <row r="35" customFormat="false" ht="129.75" hidden="false" customHeight="true" outlineLevel="0" collapsed="false">
      <c r="A35" s="29" t="s">
        <v>225</v>
      </c>
      <c r="B35" s="37" t="s">
        <v>39</v>
      </c>
      <c r="C35" s="29" t="s">
        <v>58</v>
      </c>
      <c r="D35" s="31" t="s">
        <v>59</v>
      </c>
      <c r="E35" s="29" t="s">
        <v>226</v>
      </c>
      <c r="F35" s="29" t="s">
        <v>227</v>
      </c>
      <c r="G35" s="29" t="s">
        <v>228</v>
      </c>
      <c r="H35" s="6" t="s">
        <v>19</v>
      </c>
      <c r="I35" s="14" t="n">
        <v>2</v>
      </c>
      <c r="J35" s="14" t="s">
        <v>80</v>
      </c>
      <c r="K35" s="29" t="s">
        <v>210</v>
      </c>
      <c r="L35" s="29" t="s">
        <v>65</v>
      </c>
    </row>
    <row r="36" customFormat="false" ht="129.75" hidden="false" customHeight="true" outlineLevel="0" collapsed="false">
      <c r="A36" s="29" t="s">
        <v>229</v>
      </c>
      <c r="B36" s="37" t="s">
        <v>39</v>
      </c>
      <c r="C36" s="29" t="s">
        <v>58</v>
      </c>
      <c r="D36" s="31" t="s">
        <v>59</v>
      </c>
      <c r="E36" s="29" t="s">
        <v>230</v>
      </c>
      <c r="F36" s="29" t="s">
        <v>231</v>
      </c>
      <c r="G36" s="29" t="s">
        <v>232</v>
      </c>
      <c r="H36" s="9" t="s">
        <v>23</v>
      </c>
      <c r="I36" s="14" t="n">
        <v>3</v>
      </c>
      <c r="J36" s="14" t="s">
        <v>162</v>
      </c>
      <c r="K36" s="29" t="s">
        <v>210</v>
      </c>
      <c r="L36" s="29" t="s">
        <v>65</v>
      </c>
    </row>
    <row r="37" customFormat="false" ht="129.75" hidden="false" customHeight="true" outlineLevel="0" collapsed="false">
      <c r="A37" s="29" t="s">
        <v>214</v>
      </c>
      <c r="B37" s="37" t="s">
        <v>39</v>
      </c>
      <c r="C37" s="29" t="s">
        <v>83</v>
      </c>
      <c r="D37" s="32" t="s">
        <v>84</v>
      </c>
      <c r="E37" s="29" t="s">
        <v>233</v>
      </c>
      <c r="F37" s="29" t="s">
        <v>234</v>
      </c>
      <c r="G37" s="29" t="s">
        <v>235</v>
      </c>
      <c r="H37" s="6" t="s">
        <v>19</v>
      </c>
      <c r="I37" s="14" t="n">
        <v>5</v>
      </c>
      <c r="J37" s="14" t="s">
        <v>80</v>
      </c>
      <c r="K37" s="29" t="s">
        <v>64</v>
      </c>
      <c r="L37" s="29" t="s">
        <v>236</v>
      </c>
    </row>
    <row r="38" customFormat="false" ht="129.75" hidden="false" customHeight="true" outlineLevel="0" collapsed="false">
      <c r="A38" s="29" t="s">
        <v>219</v>
      </c>
      <c r="B38" s="37" t="s">
        <v>39</v>
      </c>
      <c r="C38" s="29" t="s">
        <v>83</v>
      </c>
      <c r="D38" s="32" t="s">
        <v>84</v>
      </c>
      <c r="E38" s="29" t="s">
        <v>237</v>
      </c>
      <c r="F38" s="29" t="s">
        <v>238</v>
      </c>
      <c r="G38" s="29" t="s">
        <v>239</v>
      </c>
      <c r="H38" s="8" t="s">
        <v>21</v>
      </c>
      <c r="I38" s="14" t="n">
        <v>3</v>
      </c>
      <c r="J38" s="14" t="s">
        <v>168</v>
      </c>
      <c r="K38" s="29" t="s">
        <v>64</v>
      </c>
      <c r="L38" s="29" t="s">
        <v>240</v>
      </c>
    </row>
    <row r="39" customFormat="false" ht="129.75" hidden="false" customHeight="true" outlineLevel="0" collapsed="false">
      <c r="A39" s="29" t="s">
        <v>241</v>
      </c>
      <c r="B39" s="37" t="s">
        <v>39</v>
      </c>
      <c r="C39" s="29" t="s">
        <v>83</v>
      </c>
      <c r="D39" s="32" t="s">
        <v>84</v>
      </c>
      <c r="E39" s="29" t="s">
        <v>242</v>
      </c>
      <c r="F39" s="29" t="s">
        <v>243</v>
      </c>
      <c r="G39" s="29" t="s">
        <v>65</v>
      </c>
      <c r="H39" s="8" t="s">
        <v>21</v>
      </c>
      <c r="I39" s="14" t="n">
        <v>2</v>
      </c>
      <c r="J39" s="14" t="s">
        <v>80</v>
      </c>
      <c r="K39" s="29" t="s">
        <v>64</v>
      </c>
      <c r="L39" s="29" t="s">
        <v>244</v>
      </c>
    </row>
    <row r="40" customFormat="false" ht="129.75" hidden="false" customHeight="true" outlineLevel="0" collapsed="false">
      <c r="A40" s="29" t="s">
        <v>245</v>
      </c>
      <c r="B40" s="38" t="s">
        <v>40</v>
      </c>
      <c r="C40" s="29" t="s">
        <v>58</v>
      </c>
      <c r="D40" s="31" t="s">
        <v>59</v>
      </c>
      <c r="E40" s="29" t="s">
        <v>246</v>
      </c>
      <c r="F40" s="29" t="s">
        <v>247</v>
      </c>
      <c r="G40" s="29" t="s">
        <v>248</v>
      </c>
      <c r="H40" s="8" t="s">
        <v>21</v>
      </c>
      <c r="I40" s="14" t="n">
        <v>5</v>
      </c>
      <c r="J40" s="14" t="s">
        <v>168</v>
      </c>
      <c r="K40" s="29" t="s">
        <v>249</v>
      </c>
      <c r="L40" s="29" t="s">
        <v>65</v>
      </c>
    </row>
    <row r="41" customFormat="false" ht="129.75" hidden="false" customHeight="true" outlineLevel="0" collapsed="false">
      <c r="A41" s="29" t="s">
        <v>250</v>
      </c>
      <c r="B41" s="38" t="s">
        <v>40</v>
      </c>
      <c r="C41" s="29" t="s">
        <v>58</v>
      </c>
      <c r="D41" s="31" t="s">
        <v>59</v>
      </c>
      <c r="E41" s="29" t="s">
        <v>251</v>
      </c>
      <c r="F41" s="29" t="s">
        <v>252</v>
      </c>
      <c r="G41" s="29" t="s">
        <v>253</v>
      </c>
      <c r="H41" s="9" t="s">
        <v>23</v>
      </c>
      <c r="I41" s="14" t="n">
        <v>2</v>
      </c>
      <c r="J41" s="14" t="s">
        <v>162</v>
      </c>
      <c r="K41" s="29" t="s">
        <v>254</v>
      </c>
      <c r="L41" s="29" t="s">
        <v>65</v>
      </c>
    </row>
    <row r="42" customFormat="false" ht="129.75" hidden="false" customHeight="true" outlineLevel="0" collapsed="false">
      <c r="A42" s="29" t="s">
        <v>249</v>
      </c>
      <c r="B42" s="38" t="s">
        <v>40</v>
      </c>
      <c r="C42" s="29" t="s">
        <v>83</v>
      </c>
      <c r="D42" s="32" t="s">
        <v>84</v>
      </c>
      <c r="E42" s="29" t="s">
        <v>255</v>
      </c>
      <c r="F42" s="29" t="s">
        <v>256</v>
      </c>
      <c r="G42" s="29" t="s">
        <v>257</v>
      </c>
      <c r="H42" s="6" t="s">
        <v>19</v>
      </c>
      <c r="I42" s="14" t="n">
        <v>13</v>
      </c>
      <c r="J42" s="14" t="s">
        <v>168</v>
      </c>
      <c r="K42" s="29" t="s">
        <v>64</v>
      </c>
      <c r="L42" s="29" t="s">
        <v>258</v>
      </c>
    </row>
    <row r="43" customFormat="false" ht="129.75" hidden="false" customHeight="true" outlineLevel="0" collapsed="false">
      <c r="A43" s="29" t="s">
        <v>254</v>
      </c>
      <c r="B43" s="38" t="s">
        <v>40</v>
      </c>
      <c r="C43" s="29" t="s">
        <v>83</v>
      </c>
      <c r="D43" s="32" t="s">
        <v>84</v>
      </c>
      <c r="E43" s="29" t="s">
        <v>259</v>
      </c>
      <c r="F43" s="29" t="s">
        <v>260</v>
      </c>
      <c r="G43" s="29" t="s">
        <v>261</v>
      </c>
      <c r="H43" s="8" t="s">
        <v>21</v>
      </c>
      <c r="I43" s="14" t="n">
        <v>5</v>
      </c>
      <c r="J43" s="14" t="s">
        <v>168</v>
      </c>
      <c r="K43" s="29" t="s">
        <v>249</v>
      </c>
      <c r="L43" s="29" t="s">
        <v>262</v>
      </c>
    </row>
    <row r="44" customFormat="false" ht="129.75" hidden="false" customHeight="true" outlineLevel="0" collapsed="false">
      <c r="A44" s="29" t="s">
        <v>263</v>
      </c>
      <c r="B44" s="39" t="s">
        <v>41</v>
      </c>
      <c r="C44" s="29" t="s">
        <v>58</v>
      </c>
      <c r="D44" s="31" t="s">
        <v>59</v>
      </c>
      <c r="E44" s="29" t="s">
        <v>264</v>
      </c>
      <c r="F44" s="29" t="s">
        <v>265</v>
      </c>
      <c r="G44" s="29" t="s">
        <v>266</v>
      </c>
      <c r="H44" s="8" t="s">
        <v>21</v>
      </c>
      <c r="I44" s="14" t="n">
        <v>5</v>
      </c>
      <c r="J44" s="14" t="s">
        <v>168</v>
      </c>
      <c r="K44" s="29" t="s">
        <v>267</v>
      </c>
      <c r="L44" s="29" t="s">
        <v>65</v>
      </c>
    </row>
    <row r="45" customFormat="false" ht="129.75" hidden="false" customHeight="true" outlineLevel="0" collapsed="false">
      <c r="A45" s="29" t="s">
        <v>267</v>
      </c>
      <c r="B45" s="39" t="s">
        <v>41</v>
      </c>
      <c r="C45" s="29" t="s">
        <v>83</v>
      </c>
      <c r="D45" s="32" t="s">
        <v>84</v>
      </c>
      <c r="E45" s="29" t="s">
        <v>268</v>
      </c>
      <c r="F45" s="29" t="s">
        <v>269</v>
      </c>
      <c r="G45" s="29" t="s">
        <v>270</v>
      </c>
      <c r="H45" s="6" t="s">
        <v>19</v>
      </c>
      <c r="I45" s="14" t="n">
        <v>8</v>
      </c>
      <c r="J45" s="14" t="s">
        <v>168</v>
      </c>
      <c r="K45" s="29" t="s">
        <v>64</v>
      </c>
      <c r="L45" s="29" t="s">
        <v>271</v>
      </c>
    </row>
    <row r="46" customFormat="false" ht="129.75" hidden="false" customHeight="true" outlineLevel="0" collapsed="false">
      <c r="A46" s="29" t="s">
        <v>272</v>
      </c>
      <c r="B46" s="40" t="s">
        <v>42</v>
      </c>
      <c r="C46" s="29" t="s">
        <v>58</v>
      </c>
      <c r="D46" s="31" t="s">
        <v>59</v>
      </c>
      <c r="E46" s="29" t="s">
        <v>273</v>
      </c>
      <c r="F46" s="29" t="s">
        <v>274</v>
      </c>
      <c r="G46" s="29" t="s">
        <v>275</v>
      </c>
      <c r="H46" s="6" t="s">
        <v>19</v>
      </c>
      <c r="I46" s="14" t="n">
        <v>3</v>
      </c>
      <c r="J46" s="14" t="s">
        <v>80</v>
      </c>
      <c r="K46" s="29" t="s">
        <v>276</v>
      </c>
      <c r="L46" s="29" t="s">
        <v>65</v>
      </c>
    </row>
    <row r="47" customFormat="false" ht="129.75" hidden="false" customHeight="true" outlineLevel="0" collapsed="false">
      <c r="A47" s="29" t="s">
        <v>277</v>
      </c>
      <c r="B47" s="40" t="s">
        <v>42</v>
      </c>
      <c r="C47" s="29" t="s">
        <v>58</v>
      </c>
      <c r="D47" s="31" t="s">
        <v>59</v>
      </c>
      <c r="E47" s="29" t="s">
        <v>278</v>
      </c>
      <c r="F47" s="29" t="s">
        <v>279</v>
      </c>
      <c r="G47" s="29" t="s">
        <v>280</v>
      </c>
      <c r="H47" s="8" t="s">
        <v>21</v>
      </c>
      <c r="I47" s="14" t="n">
        <v>5</v>
      </c>
      <c r="J47" s="14" t="s">
        <v>168</v>
      </c>
      <c r="K47" s="29" t="s">
        <v>64</v>
      </c>
      <c r="L47" s="29" t="s">
        <v>281</v>
      </c>
    </row>
    <row r="48" customFormat="false" ht="129.75" hidden="false" customHeight="true" outlineLevel="0" collapsed="false">
      <c r="A48" s="29" t="s">
        <v>276</v>
      </c>
      <c r="B48" s="40" t="s">
        <v>42</v>
      </c>
      <c r="C48" s="29" t="s">
        <v>83</v>
      </c>
      <c r="D48" s="32" t="s">
        <v>84</v>
      </c>
      <c r="E48" s="29" t="s">
        <v>282</v>
      </c>
      <c r="F48" s="29" t="s">
        <v>283</v>
      </c>
      <c r="G48" s="29" t="s">
        <v>284</v>
      </c>
      <c r="H48" s="6" t="s">
        <v>19</v>
      </c>
      <c r="I48" s="14" t="n">
        <v>5</v>
      </c>
      <c r="J48" s="14" t="s">
        <v>80</v>
      </c>
      <c r="K48" s="29" t="s">
        <v>64</v>
      </c>
      <c r="L48" s="29" t="s">
        <v>285</v>
      </c>
    </row>
    <row r="49" customFormat="false" ht="129.75" hidden="false" customHeight="true" outlineLevel="0" collapsed="false">
      <c r="A49" s="29" t="s">
        <v>286</v>
      </c>
      <c r="B49" s="41" t="s">
        <v>43</v>
      </c>
      <c r="C49" s="29" t="s">
        <v>58</v>
      </c>
      <c r="D49" s="31" t="s">
        <v>59</v>
      </c>
      <c r="E49" s="29" t="s">
        <v>287</v>
      </c>
      <c r="F49" s="29" t="s">
        <v>288</v>
      </c>
      <c r="G49" s="29" t="s">
        <v>289</v>
      </c>
      <c r="H49" s="8" t="s">
        <v>21</v>
      </c>
      <c r="I49" s="14" t="n">
        <v>3</v>
      </c>
      <c r="J49" s="14" t="s">
        <v>168</v>
      </c>
      <c r="K49" s="29" t="s">
        <v>290</v>
      </c>
      <c r="L49" s="29" t="s">
        <v>65</v>
      </c>
    </row>
    <row r="50" customFormat="false" ht="129.75" hidden="false" customHeight="true" outlineLevel="0" collapsed="false">
      <c r="A50" s="29" t="s">
        <v>290</v>
      </c>
      <c r="B50" s="41" t="s">
        <v>43</v>
      </c>
      <c r="C50" s="29" t="s">
        <v>83</v>
      </c>
      <c r="D50" s="32" t="s">
        <v>84</v>
      </c>
      <c r="E50" s="29" t="s">
        <v>291</v>
      </c>
      <c r="F50" s="29" t="s">
        <v>292</v>
      </c>
      <c r="G50" s="29" t="s">
        <v>293</v>
      </c>
      <c r="H50" s="8" t="s">
        <v>21</v>
      </c>
      <c r="I50" s="14" t="n">
        <v>5</v>
      </c>
      <c r="J50" s="14" t="s">
        <v>168</v>
      </c>
      <c r="K50" s="29" t="s">
        <v>64</v>
      </c>
      <c r="L50" s="29" t="s">
        <v>294</v>
      </c>
    </row>
    <row r="51" customFormat="false" ht="129.75" hidden="false" customHeight="true" outlineLevel="0" collapsed="false">
      <c r="A51" s="29" t="s">
        <v>295</v>
      </c>
      <c r="B51" s="42" t="s">
        <v>44</v>
      </c>
      <c r="C51" s="29" t="s">
        <v>296</v>
      </c>
      <c r="D51" s="31" t="s">
        <v>59</v>
      </c>
      <c r="E51" s="29" t="s">
        <v>297</v>
      </c>
      <c r="F51" s="29" t="s">
        <v>298</v>
      </c>
      <c r="G51" s="29" t="s">
        <v>299</v>
      </c>
      <c r="H51" s="6" t="s">
        <v>19</v>
      </c>
      <c r="I51" s="14" t="n">
        <v>8</v>
      </c>
      <c r="J51" s="14" t="s">
        <v>63</v>
      </c>
      <c r="K51" s="29" t="s">
        <v>64</v>
      </c>
      <c r="L51" s="29" t="s">
        <v>300</v>
      </c>
    </row>
    <row r="52" customFormat="false" ht="129.75" hidden="false" customHeight="true" outlineLevel="0" collapsed="false">
      <c r="A52" s="29" t="s">
        <v>301</v>
      </c>
      <c r="B52" s="42" t="s">
        <v>44</v>
      </c>
      <c r="C52" s="29" t="s">
        <v>302</v>
      </c>
      <c r="D52" s="31" t="s">
        <v>59</v>
      </c>
      <c r="E52" s="29" t="s">
        <v>303</v>
      </c>
      <c r="F52" s="29" t="s">
        <v>304</v>
      </c>
      <c r="G52" s="29" t="s">
        <v>305</v>
      </c>
      <c r="H52" s="6" t="s">
        <v>19</v>
      </c>
      <c r="I52" s="14" t="n">
        <v>8</v>
      </c>
      <c r="J52" s="14" t="s">
        <v>80</v>
      </c>
      <c r="K52" s="29" t="s">
        <v>64</v>
      </c>
      <c r="L52" s="29" t="s">
        <v>65</v>
      </c>
    </row>
    <row r="53" customFormat="false" ht="129.75" hidden="false" customHeight="true" outlineLevel="0" collapsed="false">
      <c r="A53" s="29" t="s">
        <v>306</v>
      </c>
      <c r="B53" s="42" t="s">
        <v>44</v>
      </c>
      <c r="C53" s="29" t="s">
        <v>302</v>
      </c>
      <c r="D53" s="31" t="s">
        <v>59</v>
      </c>
      <c r="E53" s="29" t="s">
        <v>307</v>
      </c>
      <c r="F53" s="29" t="s">
        <v>308</v>
      </c>
      <c r="G53" s="29" t="s">
        <v>309</v>
      </c>
      <c r="H53" s="6" t="s">
        <v>19</v>
      </c>
      <c r="I53" s="14" t="n">
        <v>8</v>
      </c>
      <c r="J53" s="14" t="s">
        <v>80</v>
      </c>
      <c r="K53" s="29" t="s">
        <v>64</v>
      </c>
      <c r="L53" s="29" t="s">
        <v>65</v>
      </c>
    </row>
    <row r="54" customFormat="false" ht="129.75" hidden="false" customHeight="true" outlineLevel="0" collapsed="false">
      <c r="A54" s="29" t="s">
        <v>310</v>
      </c>
      <c r="B54" s="42" t="s">
        <v>44</v>
      </c>
      <c r="C54" s="29" t="s">
        <v>302</v>
      </c>
      <c r="D54" s="31" t="s">
        <v>59</v>
      </c>
      <c r="E54" s="29" t="s">
        <v>311</v>
      </c>
      <c r="F54" s="29" t="s">
        <v>312</v>
      </c>
      <c r="G54" s="29" t="s">
        <v>313</v>
      </c>
      <c r="H54" s="6" t="s">
        <v>19</v>
      </c>
      <c r="I54" s="14" t="n">
        <v>5</v>
      </c>
      <c r="J54" s="14" t="s">
        <v>80</v>
      </c>
      <c r="K54" s="29" t="s">
        <v>64</v>
      </c>
      <c r="L54" s="29" t="s">
        <v>314</v>
      </c>
    </row>
    <row r="55" customFormat="false" ht="129.75" hidden="false" customHeight="true" outlineLevel="0" collapsed="false">
      <c r="A55" s="29" t="s">
        <v>315</v>
      </c>
      <c r="B55" s="42" t="s">
        <v>44</v>
      </c>
      <c r="C55" s="29" t="s">
        <v>302</v>
      </c>
      <c r="D55" s="31" t="s">
        <v>59</v>
      </c>
      <c r="E55" s="29" t="s">
        <v>316</v>
      </c>
      <c r="F55" s="29" t="s">
        <v>317</v>
      </c>
      <c r="G55" s="29" t="s">
        <v>318</v>
      </c>
      <c r="H55" s="6" t="s">
        <v>19</v>
      </c>
      <c r="I55" s="14" t="n">
        <v>8</v>
      </c>
      <c r="J55" s="14" t="s">
        <v>80</v>
      </c>
      <c r="K55" s="29" t="s">
        <v>64</v>
      </c>
      <c r="L55" s="29" t="s">
        <v>65</v>
      </c>
    </row>
    <row r="56" customFormat="false" ht="129.75" hidden="false" customHeight="true" outlineLevel="0" collapsed="false">
      <c r="A56" s="29" t="s">
        <v>319</v>
      </c>
      <c r="B56" s="42" t="s">
        <v>44</v>
      </c>
      <c r="C56" s="29" t="s">
        <v>83</v>
      </c>
      <c r="D56" s="32" t="s">
        <v>84</v>
      </c>
      <c r="E56" s="29" t="s">
        <v>320</v>
      </c>
      <c r="F56" s="29" t="s">
        <v>321</v>
      </c>
      <c r="G56" s="29" t="s">
        <v>322</v>
      </c>
      <c r="H56" s="8" t="s">
        <v>21</v>
      </c>
      <c r="I56" s="14" t="n">
        <v>5</v>
      </c>
      <c r="J56" s="14" t="s">
        <v>168</v>
      </c>
      <c r="K56" s="29" t="s">
        <v>295</v>
      </c>
      <c r="L56" s="29" t="s">
        <v>323</v>
      </c>
    </row>
  </sheetData>
  <autoFilter ref="A1:L5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60"/>
    <col collapsed="false" customWidth="true" hidden="false" outlineLevel="0" max="5" min="4" style="0" width="22"/>
  </cols>
  <sheetData>
    <row r="1" customFormat="false" ht="22.05" hidden="false" customHeight="true" outlineLevel="0" collapsed="false">
      <c r="A1" s="11" t="s">
        <v>324</v>
      </c>
      <c r="B1" s="11"/>
      <c r="C1" s="11"/>
      <c r="D1" s="11"/>
      <c r="E1" s="11"/>
    </row>
    <row r="3" customFormat="false" ht="27.75" hidden="false" customHeight="true" outlineLevel="0" collapsed="false">
      <c r="A3" s="12" t="s">
        <v>325</v>
      </c>
      <c r="B3" s="12" t="s">
        <v>326</v>
      </c>
      <c r="C3" s="12" t="s">
        <v>327</v>
      </c>
      <c r="D3" s="12" t="s">
        <v>328</v>
      </c>
      <c r="E3" s="12" t="s">
        <v>329</v>
      </c>
    </row>
    <row r="4" customFormat="false" ht="37.5" hidden="false" customHeight="true" outlineLevel="0" collapsed="false">
      <c r="A4" s="43" t="s">
        <v>330</v>
      </c>
      <c r="B4" s="43" t="s">
        <v>331</v>
      </c>
      <c r="C4" s="43" t="s">
        <v>332</v>
      </c>
      <c r="D4" s="43" t="s">
        <v>333</v>
      </c>
      <c r="E4" s="43" t="s">
        <v>89</v>
      </c>
    </row>
    <row r="5" customFormat="false" ht="37.5" hidden="false" customHeight="true" outlineLevel="0" collapsed="false">
      <c r="A5" s="29" t="s">
        <v>334</v>
      </c>
      <c r="B5" s="29" t="s">
        <v>335</v>
      </c>
      <c r="C5" s="29" t="s">
        <v>336</v>
      </c>
      <c r="D5" s="29" t="s">
        <v>337</v>
      </c>
      <c r="E5" s="29" t="s">
        <v>338</v>
      </c>
    </row>
    <row r="6" customFormat="false" ht="37.5" hidden="false" customHeight="true" outlineLevel="0" collapsed="false">
      <c r="A6" s="43" t="s">
        <v>339</v>
      </c>
      <c r="B6" s="43" t="s">
        <v>340</v>
      </c>
      <c r="C6" s="43" t="s">
        <v>341</v>
      </c>
      <c r="D6" s="43" t="s">
        <v>342</v>
      </c>
      <c r="E6" s="43" t="s">
        <v>343</v>
      </c>
    </row>
    <row r="7" customFormat="false" ht="37.5" hidden="false" customHeight="true" outlineLevel="0" collapsed="false">
      <c r="A7" s="29" t="s">
        <v>344</v>
      </c>
      <c r="B7" s="29" t="s">
        <v>345</v>
      </c>
      <c r="C7" s="29" t="s">
        <v>346</v>
      </c>
      <c r="D7" s="29" t="s">
        <v>347</v>
      </c>
      <c r="E7" s="29" t="s">
        <v>137</v>
      </c>
    </row>
    <row r="8" customFormat="false" ht="37.5" hidden="false" customHeight="true" outlineLevel="0" collapsed="false">
      <c r="A8" s="43" t="s">
        <v>348</v>
      </c>
      <c r="B8" s="43" t="s">
        <v>349</v>
      </c>
      <c r="C8" s="43" t="s">
        <v>350</v>
      </c>
      <c r="D8" s="43" t="s">
        <v>337</v>
      </c>
      <c r="E8" s="43" t="s">
        <v>351</v>
      </c>
    </row>
    <row r="9" customFormat="false" ht="37.5" hidden="false" customHeight="true" outlineLevel="0" collapsed="false">
      <c r="A9" s="29" t="s">
        <v>352</v>
      </c>
      <c r="B9" s="29" t="s">
        <v>353</v>
      </c>
      <c r="C9" s="29" t="s">
        <v>354</v>
      </c>
      <c r="D9" s="29" t="s">
        <v>337</v>
      </c>
      <c r="E9" s="29" t="s">
        <v>178</v>
      </c>
    </row>
    <row r="10" customFormat="false" ht="37.5" hidden="false" customHeight="true" outlineLevel="0" collapsed="false">
      <c r="A10" s="43" t="s">
        <v>355</v>
      </c>
      <c r="B10" s="43" t="s">
        <v>356</v>
      </c>
      <c r="C10" s="43" t="s">
        <v>357</v>
      </c>
      <c r="D10" s="43" t="s">
        <v>342</v>
      </c>
      <c r="E10" s="43" t="s">
        <v>200</v>
      </c>
    </row>
    <row r="11" customFormat="false" ht="37.5" hidden="false" customHeight="true" outlineLevel="0" collapsed="false">
      <c r="A11" s="29" t="s">
        <v>358</v>
      </c>
      <c r="B11" s="29" t="s">
        <v>359</v>
      </c>
      <c r="C11" s="29" t="s">
        <v>360</v>
      </c>
      <c r="D11" s="29" t="s">
        <v>337</v>
      </c>
      <c r="E11" s="29" t="s">
        <v>361</v>
      </c>
    </row>
    <row r="12" customFormat="false" ht="37.5" hidden="false" customHeight="true" outlineLevel="0" collapsed="false">
      <c r="A12" s="43" t="s">
        <v>362</v>
      </c>
      <c r="B12" s="43" t="s">
        <v>363</v>
      </c>
      <c r="C12" s="43" t="s">
        <v>364</v>
      </c>
      <c r="D12" s="43" t="s">
        <v>342</v>
      </c>
      <c r="E12" s="43" t="s">
        <v>219</v>
      </c>
    </row>
    <row r="13" customFormat="false" ht="37.5" hidden="false" customHeight="true" outlineLevel="0" collapsed="false">
      <c r="A13" s="29" t="s">
        <v>365</v>
      </c>
      <c r="B13" s="29" t="s">
        <v>366</v>
      </c>
      <c r="C13" s="29" t="s">
        <v>367</v>
      </c>
      <c r="D13" s="29" t="s">
        <v>337</v>
      </c>
      <c r="E13" s="29" t="s">
        <v>249</v>
      </c>
    </row>
    <row r="14" customFormat="false" ht="37.5" hidden="false" customHeight="true" outlineLevel="0" collapsed="false">
      <c r="A14" s="43" t="s">
        <v>368</v>
      </c>
      <c r="B14" s="43" t="s">
        <v>369</v>
      </c>
      <c r="C14" s="43" t="s">
        <v>370</v>
      </c>
      <c r="D14" s="43" t="s">
        <v>337</v>
      </c>
      <c r="E14" s="43" t="s">
        <v>254</v>
      </c>
    </row>
    <row r="15" customFormat="false" ht="37.5" hidden="false" customHeight="true" outlineLevel="0" collapsed="false">
      <c r="A15" s="29" t="s">
        <v>371</v>
      </c>
      <c r="B15" s="29" t="s">
        <v>371</v>
      </c>
      <c r="C15" s="29" t="s">
        <v>372</v>
      </c>
      <c r="D15" s="29" t="s">
        <v>373</v>
      </c>
      <c r="E15" s="29" t="s">
        <v>267</v>
      </c>
    </row>
    <row r="16" customFormat="false" ht="37.5" hidden="false" customHeight="true" outlineLevel="0" collapsed="false">
      <c r="A16" s="43" t="s">
        <v>374</v>
      </c>
      <c r="B16" s="43" t="s">
        <v>374</v>
      </c>
      <c r="C16" s="43" t="s">
        <v>375</v>
      </c>
      <c r="D16" s="43" t="s">
        <v>337</v>
      </c>
      <c r="E16" s="43" t="s">
        <v>276</v>
      </c>
    </row>
    <row r="17" customFormat="false" ht="37.5" hidden="false" customHeight="true" outlineLevel="0" collapsed="false">
      <c r="A17" s="29" t="s">
        <v>376</v>
      </c>
      <c r="B17" s="29" t="s">
        <v>377</v>
      </c>
      <c r="C17" s="29" t="s">
        <v>378</v>
      </c>
      <c r="D17" s="29" t="s">
        <v>342</v>
      </c>
      <c r="E17" s="29" t="s">
        <v>290</v>
      </c>
    </row>
    <row r="18" customFormat="false" ht="37.5" hidden="false" customHeight="true" outlineLevel="0" collapsed="false">
      <c r="A18" s="43" t="s">
        <v>379</v>
      </c>
      <c r="B18" s="43" t="s">
        <v>380</v>
      </c>
      <c r="C18" s="43" t="s">
        <v>381</v>
      </c>
      <c r="D18" s="43" t="s">
        <v>382</v>
      </c>
      <c r="E18" s="43" t="s">
        <v>295</v>
      </c>
    </row>
    <row r="19" customFormat="false" ht="37.5" hidden="false" customHeight="true" outlineLevel="0" collapsed="false">
      <c r="A19" s="29" t="s">
        <v>383</v>
      </c>
      <c r="B19" s="29" t="s">
        <v>384</v>
      </c>
      <c r="C19" s="29" t="s">
        <v>385</v>
      </c>
      <c r="D19" s="29" t="s">
        <v>386</v>
      </c>
      <c r="E19" s="29" t="s">
        <v>310</v>
      </c>
    </row>
    <row r="20" customFormat="false" ht="37.5" hidden="false" customHeight="true" outlineLevel="0" collapsed="false">
      <c r="A20" s="43" t="s">
        <v>387</v>
      </c>
      <c r="B20" s="43" t="s">
        <v>387</v>
      </c>
      <c r="C20" s="43" t="s">
        <v>388</v>
      </c>
      <c r="D20" s="43" t="s">
        <v>389</v>
      </c>
      <c r="E20" s="43" t="s">
        <v>319</v>
      </c>
    </row>
    <row r="21" customFormat="false" ht="37.5" hidden="false" customHeight="true" outlineLevel="0" collapsed="false">
      <c r="A21" s="29" t="s">
        <v>390</v>
      </c>
      <c r="B21" s="29" t="s">
        <v>391</v>
      </c>
      <c r="C21" s="29" t="s">
        <v>392</v>
      </c>
      <c r="D21" s="29" t="s">
        <v>337</v>
      </c>
      <c r="E21" s="29" t="s">
        <v>76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50"/>
    <col collapsed="false" customWidth="true" hidden="false" outlineLevel="0" max="4" min="4" style="0" width="35"/>
    <col collapsed="false" customWidth="true" hidden="false" outlineLevel="0" max="5" min="5" style="0" width="10"/>
    <col collapsed="false" customWidth="true" hidden="false" outlineLevel="0" max="7" min="6" style="0" width="12"/>
  </cols>
  <sheetData>
    <row r="1" customFormat="false" ht="22.05" hidden="false" customHeight="true" outlineLevel="0" collapsed="false">
      <c r="A1" s="11" t="s">
        <v>393</v>
      </c>
      <c r="B1" s="11"/>
      <c r="C1" s="11"/>
      <c r="D1" s="11"/>
      <c r="E1" s="11"/>
      <c r="F1" s="11"/>
      <c r="G1" s="11"/>
    </row>
    <row r="3" customFormat="false" ht="25.5" hidden="false" customHeight="true" outlineLevel="0" collapsed="false">
      <c r="A3" s="12" t="s">
        <v>54</v>
      </c>
      <c r="B3" s="12" t="s">
        <v>394</v>
      </c>
      <c r="C3" s="12" t="s">
        <v>395</v>
      </c>
      <c r="D3" s="12" t="s">
        <v>396</v>
      </c>
      <c r="E3" s="12" t="s">
        <v>397</v>
      </c>
      <c r="F3" s="12" t="s">
        <v>32</v>
      </c>
      <c r="G3" s="12" t="s">
        <v>33</v>
      </c>
    </row>
    <row r="4" customFormat="false" ht="49.5" hidden="false" customHeight="true" outlineLevel="0" collapsed="false">
      <c r="A4" s="44" t="s">
        <v>63</v>
      </c>
      <c r="B4" s="29" t="s">
        <v>398</v>
      </c>
      <c r="C4" s="29" t="s">
        <v>399</v>
      </c>
      <c r="D4" s="29" t="s">
        <v>400</v>
      </c>
      <c r="E4" s="14" t="n">
        <v>15</v>
      </c>
      <c r="F4" s="14" t="n">
        <v>62</v>
      </c>
      <c r="G4" s="15" t="n">
        <v>1</v>
      </c>
    </row>
    <row r="5" customFormat="false" ht="49.5" hidden="false" customHeight="true" outlineLevel="0" collapsed="false">
      <c r="A5" s="44" t="s">
        <v>80</v>
      </c>
      <c r="B5" s="29" t="s">
        <v>401</v>
      </c>
      <c r="C5" s="29" t="s">
        <v>402</v>
      </c>
      <c r="D5" s="29" t="s">
        <v>403</v>
      </c>
      <c r="E5" s="14" t="n">
        <v>24</v>
      </c>
      <c r="F5" s="14" t="n">
        <v>103</v>
      </c>
      <c r="G5" s="15" t="n">
        <v>0.541666666666667</v>
      </c>
    </row>
    <row r="6" customFormat="false" ht="49.5" hidden="false" customHeight="true" outlineLevel="0" collapsed="false">
      <c r="A6" s="44" t="s">
        <v>168</v>
      </c>
      <c r="B6" s="29" t="s">
        <v>404</v>
      </c>
      <c r="C6" s="29" t="s">
        <v>405</v>
      </c>
      <c r="D6" s="29" t="s">
        <v>406</v>
      </c>
      <c r="E6" s="14" t="n">
        <v>13</v>
      </c>
      <c r="F6" s="14" t="n">
        <v>68</v>
      </c>
      <c r="G6" s="15" t="n">
        <v>0.153846153846154</v>
      </c>
    </row>
    <row r="7" customFormat="false" ht="49.5" hidden="false" customHeight="true" outlineLevel="0" collapsed="false">
      <c r="A7" s="44" t="s">
        <v>162</v>
      </c>
      <c r="B7" s="29" t="s">
        <v>407</v>
      </c>
      <c r="C7" s="29" t="s">
        <v>408</v>
      </c>
      <c r="D7" s="29" t="s">
        <v>409</v>
      </c>
      <c r="E7" s="14" t="n">
        <v>3</v>
      </c>
      <c r="F7" s="14" t="n">
        <v>18</v>
      </c>
      <c r="G7" s="15" t="n">
        <v>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2026-05-14T15:38:45Z</dcterms:created>
  <dc:creator>openpyxl</dc:creator>
  <dc:description/>
  <dc:language>en-US</dc:language>
  <cp:lastModifiedBy/>
  <dcterms:modified xsi:type="dcterms:W3CDTF">2026-05-14T15:38:46Z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